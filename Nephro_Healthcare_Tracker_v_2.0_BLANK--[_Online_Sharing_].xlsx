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9D259189-98EF-43ED-94D8-8FE51F7D290D}" xr6:coauthVersionLast="47" xr6:coauthVersionMax="47" xr10:uidLastSave="{00000000-0000-0000-0000-000000000000}"/>
  <bookViews>
    <workbookView xWindow="-120" yWindow="-120" windowWidth="20730" windowHeight="11040" tabRatio="870" firstSheet="1" activeTab="2" xr2:uid="{00000000-000D-0000-FFFF-FFFF00000000}"/>
  </bookViews>
  <sheets>
    <sheet name="📋 How To Print" sheetId="1" r:id="rId1"/>
    <sheet name="👤 Patient Info" sheetId="2" r:id="rId2"/>
    <sheet name="📅 Daily Vitals Log" sheetId="3" r:id="rId3"/>
    <sheet name="🧪 Lab Results" sheetId="4" r:id="rId4"/>
    <sheet name="💊 Medication History" sheetId="5" r:id="rId5"/>
    <sheet name="📈 Dashboard" sheetId="8" r:id="rId6"/>
    <sheet name="🩺 Doctor Referral Report" sheetId="9" r:id="rId7"/>
    <sheet name="📊 Weekly Summary" sheetId="7" r:id="rId8"/>
    <sheet name="🗓 Doctor Visit Log" sheetId="6" r:id="rId9"/>
    <sheet name="📖 Lab Reference Ranges" sheetId="10" r:id="rId10"/>
    <sheet name="⚙ Dashboard Settings" sheetId="11" r:id="rId11"/>
  </sheets>
  <definedNames>
    <definedName name="Lim_BP_DiaHigh">'⚙ Dashboard Settings'!$I$11</definedName>
    <definedName name="Lim_BP_SysHigh">'⚙ Dashboard Settings'!$I$9</definedName>
    <definedName name="Lim_BP_SysLow">'⚙ Dashboard Settings'!$I$10</definedName>
    <definedName name="Lim_Sugar_Alert">'⚙ Dashboard Settings'!$I$7</definedName>
    <definedName name="_xlnm.Print_Area" localSheetId="10">'⚙ Dashboard Settings'!$B$1:$O$42</definedName>
    <definedName name="_xlnm.Print_Area" localSheetId="1">'👤 Patient Info'!$A$1:$G$28</definedName>
    <definedName name="_xlnm.Print_Area" localSheetId="4">'💊 Medication History'!$A$1:$L$105</definedName>
    <definedName name="_xlnm.Print_Area" localSheetId="2">'📅 Daily Vitals Log'!$A$1:$Q$116</definedName>
    <definedName name="_xlnm.Print_Area" localSheetId="5">'📈 Dashboard'!$B$1:$Q$184</definedName>
    <definedName name="_xlnm.Print_Area" localSheetId="7">'📊 Weekly Summary'!$A$1:$P$67</definedName>
    <definedName name="_xlnm.Print_Area" localSheetId="0">'📋 How To Print'!$A$1:$G$46</definedName>
    <definedName name="_xlnm.Print_Area" localSheetId="9">'📖 Lab Reference Ranges'!$A$1:$G$40</definedName>
    <definedName name="_xlnm.Print_Area" localSheetId="8">'🗓 Doctor Visit Log'!$A$1:$U$56</definedName>
    <definedName name="_xlnm.Print_Area" localSheetId="3">'🧪 Lab Results'!$A$1:$Z$45</definedName>
    <definedName name="_xlnm.Print_Area" localSheetId="6">'🩺 Doctor Referral Report'!$A$1:$H$74</definedName>
    <definedName name="_xlnm.Print_Titles" localSheetId="2">'📅 Daily Vitals Log'!$3:$3</definedName>
    <definedName name="_xlnm.Print_Titles" localSheetId="8">'🗓 Doctor Visit Log'!$1:$5</definedName>
    <definedName name="VisitDateList">'🗓 Doctor Visit Log'!$V$6:INDEX('🗓 Doctor Visit Log'!$V$6:$V$117,MAX(1,COUNT('🗓 Doctor Visit Log'!$V$6:$V$117)))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00" i="11" l="1"/>
  <c r="Q100" i="11"/>
  <c r="P100" i="11"/>
  <c r="R99" i="11"/>
  <c r="Q99" i="11"/>
  <c r="P99" i="11"/>
  <c r="R98" i="11"/>
  <c r="Q98" i="11"/>
  <c r="P98" i="11"/>
  <c r="R97" i="11"/>
  <c r="Q97" i="11"/>
  <c r="P97" i="11"/>
  <c r="R96" i="11"/>
  <c r="Q96" i="11"/>
  <c r="P96" i="11"/>
  <c r="R95" i="11"/>
  <c r="Q95" i="11"/>
  <c r="P95" i="11"/>
  <c r="R94" i="11"/>
  <c r="Q94" i="11"/>
  <c r="P94" i="11"/>
  <c r="R93" i="11"/>
  <c r="Q93" i="11"/>
  <c r="P93" i="11"/>
  <c r="R92" i="11"/>
  <c r="Q92" i="11"/>
  <c r="P92" i="11"/>
  <c r="R91" i="11"/>
  <c r="Q91" i="11"/>
  <c r="P91" i="11"/>
  <c r="R90" i="11"/>
  <c r="Q90" i="11"/>
  <c r="P90" i="11"/>
  <c r="R89" i="11"/>
  <c r="Q89" i="11"/>
  <c r="P89" i="11"/>
  <c r="R88" i="11"/>
  <c r="Q88" i="11"/>
  <c r="P88" i="11"/>
  <c r="R87" i="11"/>
  <c r="Q87" i="11"/>
  <c r="P87" i="11"/>
  <c r="R86" i="11"/>
  <c r="Q86" i="11"/>
  <c r="P86" i="11"/>
  <c r="R85" i="11"/>
  <c r="Q85" i="11"/>
  <c r="P85" i="11"/>
  <c r="R84" i="11"/>
  <c r="Q84" i="11"/>
  <c r="P84" i="11"/>
  <c r="R83" i="11"/>
  <c r="Q83" i="11"/>
  <c r="P83" i="11"/>
  <c r="R82" i="11"/>
  <c r="Q82" i="11"/>
  <c r="P82" i="11"/>
  <c r="R81" i="11"/>
  <c r="Q81" i="11"/>
  <c r="P81" i="11"/>
  <c r="R80" i="11"/>
  <c r="Q80" i="11"/>
  <c r="P80" i="11"/>
  <c r="R79" i="11"/>
  <c r="Q79" i="11"/>
  <c r="P79" i="11"/>
  <c r="R78" i="11"/>
  <c r="Q78" i="11"/>
  <c r="P78" i="11"/>
  <c r="R77" i="11"/>
  <c r="Q77" i="11"/>
  <c r="P77" i="11"/>
  <c r="R76" i="11"/>
  <c r="Q76" i="11"/>
  <c r="P76" i="11"/>
  <c r="R75" i="11"/>
  <c r="Q75" i="11"/>
  <c r="P75" i="11"/>
  <c r="R74" i="11"/>
  <c r="Q74" i="11"/>
  <c r="P74" i="11"/>
  <c r="R73" i="11"/>
  <c r="Q73" i="11"/>
  <c r="P73" i="11"/>
  <c r="R72" i="11"/>
  <c r="Q72" i="11"/>
  <c r="P72" i="11"/>
  <c r="R71" i="11"/>
  <c r="Q71" i="11"/>
  <c r="P71" i="11"/>
  <c r="R70" i="11"/>
  <c r="Q70" i="11"/>
  <c r="P70" i="11"/>
  <c r="R69" i="11"/>
  <c r="Q69" i="11"/>
  <c r="P69" i="11"/>
  <c r="R68" i="11"/>
  <c r="Q68" i="11"/>
  <c r="P68" i="11"/>
  <c r="R67" i="11"/>
  <c r="Q67" i="11"/>
  <c r="P67" i="11"/>
  <c r="R66" i="11"/>
  <c r="Q66" i="11"/>
  <c r="P66" i="11"/>
  <c r="R65" i="11"/>
  <c r="Q65" i="11"/>
  <c r="P65" i="11"/>
  <c r="R64" i="11"/>
  <c r="Q64" i="11"/>
  <c r="P64" i="11"/>
  <c r="R63" i="11"/>
  <c r="Q63" i="11"/>
  <c r="P63" i="11"/>
  <c r="R62" i="11"/>
  <c r="Q62" i="11"/>
  <c r="P62" i="11"/>
  <c r="R61" i="11"/>
  <c r="Q61" i="11"/>
  <c r="P61" i="11"/>
  <c r="R60" i="11"/>
  <c r="Q60" i="11"/>
  <c r="P60" i="11"/>
  <c r="R59" i="11"/>
  <c r="Q59" i="11"/>
  <c r="P59" i="11"/>
  <c r="R58" i="11"/>
  <c r="Q58" i="11"/>
  <c r="P58" i="11"/>
  <c r="R57" i="11"/>
  <c r="Q57" i="11"/>
  <c r="P57" i="11"/>
  <c r="R56" i="11"/>
  <c r="Q56" i="11"/>
  <c r="P56" i="11"/>
  <c r="R55" i="11"/>
  <c r="Q55" i="11"/>
  <c r="P55" i="11"/>
  <c r="R54" i="11"/>
  <c r="Q54" i="11"/>
  <c r="P54" i="11"/>
  <c r="R53" i="11"/>
  <c r="Q53" i="11"/>
  <c r="P53" i="11"/>
  <c r="R52" i="11"/>
  <c r="Q52" i="11"/>
  <c r="P52" i="11"/>
  <c r="R51" i="11"/>
  <c r="Q51" i="11"/>
  <c r="P51" i="11"/>
  <c r="R50" i="11"/>
  <c r="Q50" i="11"/>
  <c r="P50" i="11"/>
  <c r="R49" i="11"/>
  <c r="Q49" i="11"/>
  <c r="P49" i="11"/>
  <c r="R48" i="11"/>
  <c r="Q48" i="11"/>
  <c r="P48" i="11"/>
  <c r="R47" i="11"/>
  <c r="Q47" i="11"/>
  <c r="P47" i="11"/>
  <c r="R46" i="11"/>
  <c r="Q46" i="11"/>
  <c r="P46" i="11"/>
  <c r="R45" i="11"/>
  <c r="Q45" i="11"/>
  <c r="P45" i="11"/>
  <c r="R44" i="11"/>
  <c r="Q44" i="11"/>
  <c r="P44" i="11"/>
  <c r="R43" i="11"/>
  <c r="Q43" i="11"/>
  <c r="P43" i="11"/>
  <c r="R42" i="11"/>
  <c r="Q42" i="11"/>
  <c r="P42" i="11"/>
  <c r="F42" i="11"/>
  <c r="E42" i="11"/>
  <c r="D42" i="11"/>
  <c r="C42" i="11"/>
  <c r="B42" i="11"/>
  <c r="R41" i="11"/>
  <c r="Q41" i="11"/>
  <c r="P41" i="11"/>
  <c r="F41" i="11"/>
  <c r="E41" i="11"/>
  <c r="D41" i="11"/>
  <c r="C41" i="11"/>
  <c r="B41" i="11"/>
  <c r="R40" i="11"/>
  <c r="Q40" i="11"/>
  <c r="P40" i="11"/>
  <c r="F40" i="11"/>
  <c r="E40" i="11"/>
  <c r="D40" i="11"/>
  <c r="C40" i="11"/>
  <c r="B40" i="11"/>
  <c r="R39" i="11"/>
  <c r="Q39" i="11"/>
  <c r="P39" i="11"/>
  <c r="F39" i="11"/>
  <c r="E39" i="11"/>
  <c r="D39" i="11"/>
  <c r="C39" i="11"/>
  <c r="B39" i="11"/>
  <c r="R38" i="11"/>
  <c r="Q38" i="11"/>
  <c r="P38" i="11"/>
  <c r="F38" i="11"/>
  <c r="E38" i="11"/>
  <c r="D38" i="11"/>
  <c r="C38" i="11"/>
  <c r="B38" i="11"/>
  <c r="R37" i="11"/>
  <c r="Q37" i="11"/>
  <c r="P37" i="11"/>
  <c r="R36" i="11"/>
  <c r="Q36" i="11"/>
  <c r="P36" i="11"/>
  <c r="R35" i="11"/>
  <c r="Q35" i="11"/>
  <c r="P35" i="11"/>
  <c r="R34" i="11"/>
  <c r="Q34" i="11"/>
  <c r="P34" i="11"/>
  <c r="R33" i="11"/>
  <c r="Q33" i="11"/>
  <c r="P33" i="11"/>
  <c r="M33" i="11"/>
  <c r="N33" i="11" s="1"/>
  <c r="C33" i="11"/>
  <c r="B33" i="11"/>
  <c r="R32" i="11"/>
  <c r="Q32" i="11"/>
  <c r="P32" i="11"/>
  <c r="M32" i="11"/>
  <c r="N32" i="11" s="1"/>
  <c r="C32" i="11"/>
  <c r="B32" i="11"/>
  <c r="R31" i="11"/>
  <c r="Q31" i="11"/>
  <c r="P31" i="11"/>
  <c r="M31" i="11"/>
  <c r="N31" i="11" s="1"/>
  <c r="C31" i="11"/>
  <c r="B31" i="11"/>
  <c r="R30" i="11"/>
  <c r="Q30" i="11"/>
  <c r="P30" i="11"/>
  <c r="M30" i="11"/>
  <c r="N30" i="11" s="1"/>
  <c r="C30" i="11"/>
  <c r="B30" i="11"/>
  <c r="R29" i="11"/>
  <c r="Q29" i="11"/>
  <c r="P29" i="11"/>
  <c r="M29" i="11"/>
  <c r="N29" i="11" s="1"/>
  <c r="C29" i="11"/>
  <c r="B29" i="11"/>
  <c r="R28" i="11"/>
  <c r="Q28" i="11"/>
  <c r="P28" i="11"/>
  <c r="M28" i="11"/>
  <c r="N28" i="11" s="1"/>
  <c r="C28" i="11"/>
  <c r="B28" i="11"/>
  <c r="R27" i="11"/>
  <c r="Q27" i="11"/>
  <c r="P27" i="11"/>
  <c r="N27" i="11"/>
  <c r="M27" i="11"/>
  <c r="C27" i="11"/>
  <c r="B27" i="11"/>
  <c r="R26" i="11"/>
  <c r="Q26" i="11"/>
  <c r="P26" i="11"/>
  <c r="M26" i="11"/>
  <c r="N26" i="11" s="1"/>
  <c r="C26" i="11"/>
  <c r="B26" i="11"/>
  <c r="R25" i="11"/>
  <c r="Q25" i="11"/>
  <c r="P25" i="11"/>
  <c r="N25" i="11"/>
  <c r="M25" i="11"/>
  <c r="C25" i="11"/>
  <c r="B25" i="11"/>
  <c r="R24" i="11"/>
  <c r="Q24" i="11"/>
  <c r="P24" i="11"/>
  <c r="M24" i="11"/>
  <c r="N24" i="11" s="1"/>
  <c r="C24" i="11"/>
  <c r="B24" i="11"/>
  <c r="R23" i="11"/>
  <c r="Q23" i="11"/>
  <c r="P23" i="11"/>
  <c r="N23" i="11"/>
  <c r="M23" i="11"/>
  <c r="C23" i="11"/>
  <c r="B23" i="11"/>
  <c r="R22" i="11"/>
  <c r="Q22" i="11"/>
  <c r="P22" i="11"/>
  <c r="M22" i="11"/>
  <c r="N22" i="11" s="1"/>
  <c r="C22" i="11"/>
  <c r="B22" i="11"/>
  <c r="R21" i="11"/>
  <c r="Q21" i="11"/>
  <c r="P21" i="11"/>
  <c r="N21" i="11"/>
  <c r="M21" i="11"/>
  <c r="C21" i="11"/>
  <c r="B21" i="11"/>
  <c r="R20" i="11"/>
  <c r="Q20" i="11"/>
  <c r="P20" i="11"/>
  <c r="M20" i="11"/>
  <c r="N20" i="11" s="1"/>
  <c r="C20" i="11"/>
  <c r="B20" i="11"/>
  <c r="R19" i="11"/>
  <c r="Q19" i="11"/>
  <c r="P19" i="11"/>
  <c r="M19" i="11"/>
  <c r="N19" i="11" s="1"/>
  <c r="C19" i="11"/>
  <c r="B19" i="11"/>
  <c r="R18" i="11"/>
  <c r="Q18" i="11"/>
  <c r="P18" i="11"/>
  <c r="M18" i="11"/>
  <c r="N18" i="11" s="1"/>
  <c r="C18" i="11"/>
  <c r="B18" i="11"/>
  <c r="R17" i="11"/>
  <c r="Q17" i="11"/>
  <c r="P17" i="11"/>
  <c r="N17" i="11"/>
  <c r="M17" i="11"/>
  <c r="C17" i="11"/>
  <c r="B17" i="11"/>
  <c r="R16" i="11"/>
  <c r="Q16" i="11"/>
  <c r="P16" i="11"/>
  <c r="N16" i="11"/>
  <c r="M16" i="11"/>
  <c r="C16" i="11"/>
  <c r="B16" i="11"/>
  <c r="R15" i="11"/>
  <c r="Q15" i="11"/>
  <c r="P15" i="11"/>
  <c r="M15" i="11"/>
  <c r="N15" i="11" s="1"/>
  <c r="C15" i="11"/>
  <c r="B15" i="11"/>
  <c r="R14" i="11"/>
  <c r="Q14" i="11"/>
  <c r="P14" i="11"/>
  <c r="M14" i="11"/>
  <c r="N14" i="11" s="1"/>
  <c r="C14" i="11"/>
  <c r="B14" i="11"/>
  <c r="R13" i="11"/>
  <c r="Q13" i="11"/>
  <c r="P13" i="11"/>
  <c r="N13" i="11"/>
  <c r="M13" i="11"/>
  <c r="C13" i="11"/>
  <c r="B13" i="11"/>
  <c r="R12" i="11"/>
  <c r="Q12" i="11"/>
  <c r="P12" i="11"/>
  <c r="M12" i="11"/>
  <c r="N12" i="11" s="1"/>
  <c r="C12" i="11"/>
  <c r="B12" i="11"/>
  <c r="R11" i="11"/>
  <c r="Q11" i="11"/>
  <c r="P11" i="11"/>
  <c r="M11" i="11"/>
  <c r="N11" i="11" s="1"/>
  <c r="C11" i="11"/>
  <c r="B11" i="11"/>
  <c r="R10" i="11"/>
  <c r="Q10" i="11"/>
  <c r="P10" i="11"/>
  <c r="M10" i="11"/>
  <c r="N10" i="11" s="1"/>
  <c r="C10" i="11"/>
  <c r="B10" i="11"/>
  <c r="R9" i="11"/>
  <c r="Q9" i="11"/>
  <c r="P9" i="11"/>
  <c r="N9" i="11"/>
  <c r="M9" i="11"/>
  <c r="C9" i="11"/>
  <c r="B9" i="11"/>
  <c r="R8" i="11"/>
  <c r="Q8" i="11"/>
  <c r="P8" i="11"/>
  <c r="N8" i="11"/>
  <c r="M8" i="11"/>
  <c r="C8" i="11"/>
  <c r="B8" i="11"/>
  <c r="R7" i="11"/>
  <c r="Q7" i="11"/>
  <c r="P7" i="11"/>
  <c r="M7" i="11"/>
  <c r="N7" i="11" s="1"/>
  <c r="C7" i="11"/>
  <c r="B7" i="11"/>
  <c r="T6" i="11"/>
  <c r="R6" i="11"/>
  <c r="Q6" i="11"/>
  <c r="P6" i="11"/>
  <c r="M6" i="11"/>
  <c r="N6" i="11" s="1"/>
  <c r="C6" i="11"/>
  <c r="B6" i="11"/>
  <c r="R5" i="11"/>
  <c r="Q5" i="11"/>
  <c r="P5" i="11"/>
  <c r="V117" i="6"/>
  <c r="V116" i="6"/>
  <c r="V115" i="6"/>
  <c r="V114" i="6"/>
  <c r="V113" i="6"/>
  <c r="V112" i="6"/>
  <c r="V111" i="6"/>
  <c r="V110" i="6"/>
  <c r="V109" i="6"/>
  <c r="V108" i="6"/>
  <c r="V107" i="6"/>
  <c r="V106" i="6"/>
  <c r="V105" i="6"/>
  <c r="V104" i="6"/>
  <c r="V103" i="6"/>
  <c r="V102" i="6"/>
  <c r="V101" i="6"/>
  <c r="V100" i="6"/>
  <c r="V99" i="6"/>
  <c r="V98" i="6"/>
  <c r="V97" i="6"/>
  <c r="V96" i="6"/>
  <c r="V95" i="6"/>
  <c r="V94" i="6"/>
  <c r="V93" i="6"/>
  <c r="V92" i="6"/>
  <c r="V91" i="6"/>
  <c r="V90" i="6"/>
  <c r="V89" i="6"/>
  <c r="V88" i="6"/>
  <c r="V87" i="6"/>
  <c r="V86" i="6"/>
  <c r="V85" i="6"/>
  <c r="V84" i="6"/>
  <c r="V83" i="6"/>
  <c r="V82" i="6"/>
  <c r="V81" i="6"/>
  <c r="V80" i="6"/>
  <c r="V79" i="6"/>
  <c r="V78" i="6"/>
  <c r="V77" i="6"/>
  <c r="V76" i="6"/>
  <c r="V75" i="6"/>
  <c r="V74" i="6"/>
  <c r="V73" i="6"/>
  <c r="V72" i="6"/>
  <c r="V71" i="6"/>
  <c r="V70" i="6"/>
  <c r="V69" i="6"/>
  <c r="V68" i="6"/>
  <c r="V67" i="6"/>
  <c r="V66" i="6"/>
  <c r="V65" i="6"/>
  <c r="V64" i="6"/>
  <c r="V63" i="6"/>
  <c r="V62" i="6"/>
  <c r="V61" i="6"/>
  <c r="V60" i="6"/>
  <c r="V59" i="6"/>
  <c r="V58" i="6"/>
  <c r="V57" i="6"/>
  <c r="V56" i="6"/>
  <c r="V55" i="6"/>
  <c r="V54" i="6"/>
  <c r="V53" i="6"/>
  <c r="V52" i="6"/>
  <c r="V51" i="6"/>
  <c r="V50" i="6"/>
  <c r="V49" i="6"/>
  <c r="V48" i="6"/>
  <c r="V47" i="6"/>
  <c r="V46" i="6"/>
  <c r="V45" i="6"/>
  <c r="V44" i="6"/>
  <c r="V43" i="6"/>
  <c r="V42" i="6"/>
  <c r="V41" i="6"/>
  <c r="V40" i="6"/>
  <c r="V39" i="6"/>
  <c r="V38" i="6"/>
  <c r="V37" i="6"/>
  <c r="V36" i="6"/>
  <c r="V35" i="6"/>
  <c r="V34" i="6"/>
  <c r="V33" i="6"/>
  <c r="V32" i="6"/>
  <c r="V31" i="6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6" i="6"/>
  <c r="I5" i="6"/>
  <c r="AF4" i="6"/>
  <c r="AE4" i="6"/>
  <c r="AD4" i="6"/>
  <c r="AC4" i="6"/>
  <c r="AB4" i="6"/>
  <c r="AA4" i="6"/>
  <c r="Z4" i="6"/>
  <c r="Y4" i="6"/>
  <c r="X4" i="6"/>
  <c r="W4" i="6"/>
  <c r="T4" i="6"/>
  <c r="S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Q2" i="6"/>
  <c r="B8" i="7"/>
  <c r="B9" i="7" s="1"/>
  <c r="M7" i="7"/>
  <c r="L7" i="7"/>
  <c r="K7" i="7"/>
  <c r="I7" i="7"/>
  <c r="H7" i="7"/>
  <c r="G7" i="7"/>
  <c r="E7" i="7"/>
  <c r="D7" i="7"/>
  <c r="C7" i="7"/>
  <c r="B7" i="7"/>
  <c r="N7" i="7" s="1"/>
  <c r="E58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G22" i="9"/>
  <c r="E22" i="9"/>
  <c r="D22" i="9" a="1"/>
  <c r="D22" i="9" s="1"/>
  <c r="C22" i="9" a="1"/>
  <c r="C22" i="9" s="1"/>
  <c r="E21" i="9"/>
  <c r="D21" i="9" a="1"/>
  <c r="D21" i="9" s="1"/>
  <c r="C21" i="9" a="1"/>
  <c r="C21" i="9" s="1"/>
  <c r="E20" i="9"/>
  <c r="D20" i="9" a="1"/>
  <c r="D20" i="9" s="1"/>
  <c r="C20" i="9" a="1"/>
  <c r="C20" i="9" s="1"/>
  <c r="E19" i="9"/>
  <c r="D19" i="9" a="1"/>
  <c r="D19" i="9" s="1"/>
  <c r="C19" i="9" a="1"/>
  <c r="C19" i="9" s="1"/>
  <c r="E18" i="9"/>
  <c r="D18" i="9" a="1"/>
  <c r="D18" i="9" s="1"/>
  <c r="C18" i="9" a="1"/>
  <c r="C18" i="9" s="1"/>
  <c r="E17" i="9"/>
  <c r="D17" i="9" a="1"/>
  <c r="D17" i="9" s="1"/>
  <c r="C17" i="9" a="1"/>
  <c r="C17" i="9" s="1"/>
  <c r="E16" i="9"/>
  <c r="D16" i="9" a="1"/>
  <c r="D16" i="9" s="1"/>
  <c r="C16" i="9" a="1"/>
  <c r="C16" i="9" s="1"/>
  <c r="E15" i="9"/>
  <c r="D15" i="9" a="1"/>
  <c r="D15" i="9" s="1"/>
  <c r="C15" i="9" a="1"/>
  <c r="C15" i="9" s="1"/>
  <c r="C12" i="9"/>
  <c r="C11" i="9"/>
  <c r="C10" i="9"/>
  <c r="C9" i="9"/>
  <c r="C8" i="9"/>
  <c r="C7" i="9"/>
  <c r="C6" i="9"/>
  <c r="C5" i="9"/>
  <c r="B3" i="9"/>
  <c r="P165" i="8"/>
  <c r="N165" i="8"/>
  <c r="L165" i="8"/>
  <c r="J165" i="8"/>
  <c r="H165" i="8"/>
  <c r="F165" i="8"/>
  <c r="D165" i="8"/>
  <c r="B165" i="8"/>
  <c r="L164" i="8"/>
  <c r="J164" i="8"/>
  <c r="H164" i="8"/>
  <c r="B163" i="8"/>
  <c r="P86" i="8"/>
  <c r="O86" i="8"/>
  <c r="L86" i="8"/>
  <c r="J86" i="8"/>
  <c r="I86" i="8"/>
  <c r="F86" i="8"/>
  <c r="E86" i="8"/>
  <c r="B86" i="8"/>
  <c r="P85" i="8"/>
  <c r="O85" i="8"/>
  <c r="L85" i="8"/>
  <c r="J85" i="8"/>
  <c r="I85" i="8"/>
  <c r="F85" i="8"/>
  <c r="E85" i="8"/>
  <c r="B85" i="8"/>
  <c r="P84" i="8"/>
  <c r="O84" i="8"/>
  <c r="L84" i="8"/>
  <c r="J84" i="8"/>
  <c r="I84" i="8"/>
  <c r="F84" i="8"/>
  <c r="E84" i="8"/>
  <c r="B84" i="8"/>
  <c r="P83" i="8"/>
  <c r="O83" i="8"/>
  <c r="L83" i="8"/>
  <c r="J83" i="8"/>
  <c r="I83" i="8"/>
  <c r="F83" i="8"/>
  <c r="E83" i="8"/>
  <c r="B83" i="8"/>
  <c r="P82" i="8"/>
  <c r="O82" i="8"/>
  <c r="L82" i="8"/>
  <c r="J82" i="8"/>
  <c r="I82" i="8"/>
  <c r="F82" i="8"/>
  <c r="E82" i="8"/>
  <c r="B82" i="8"/>
  <c r="Q80" i="8"/>
  <c r="P80" i="8"/>
  <c r="O80" i="8"/>
  <c r="L28" i="11" s="1"/>
  <c r="M80" i="8"/>
  <c r="K80" i="8"/>
  <c r="H80" i="8"/>
  <c r="I80" i="8" s="1"/>
  <c r="J80" i="8" s="1"/>
  <c r="G80" i="8"/>
  <c r="F80" i="8"/>
  <c r="E80" i="8"/>
  <c r="B80" i="8"/>
  <c r="Q79" i="8"/>
  <c r="P79" i="8"/>
  <c r="O79" i="8"/>
  <c r="L27" i="11" s="1"/>
  <c r="M79" i="8"/>
  <c r="K79" i="8"/>
  <c r="H79" i="8"/>
  <c r="I79" i="8" s="1"/>
  <c r="J79" i="8" s="1"/>
  <c r="G79" i="8"/>
  <c r="F79" i="8"/>
  <c r="E79" i="8"/>
  <c r="B79" i="8"/>
  <c r="Q78" i="8"/>
  <c r="P78" i="8"/>
  <c r="O78" i="8"/>
  <c r="L26" i="11" s="1"/>
  <c r="M78" i="8"/>
  <c r="K78" i="8"/>
  <c r="H78" i="8"/>
  <c r="I78" i="8" s="1"/>
  <c r="J78" i="8" s="1"/>
  <c r="G78" i="8"/>
  <c r="F78" i="8"/>
  <c r="E78" i="8"/>
  <c r="B78" i="8"/>
  <c r="Q77" i="8"/>
  <c r="P77" i="8"/>
  <c r="O77" i="8"/>
  <c r="L25" i="11" s="1"/>
  <c r="M77" i="8"/>
  <c r="K77" i="8"/>
  <c r="H77" i="8"/>
  <c r="I77" i="8" s="1"/>
  <c r="J77" i="8" s="1"/>
  <c r="G77" i="8"/>
  <c r="F77" i="8"/>
  <c r="E77" i="8"/>
  <c r="B77" i="8"/>
  <c r="Q76" i="8"/>
  <c r="P76" i="8"/>
  <c r="O76" i="8"/>
  <c r="L24" i="11" s="1"/>
  <c r="M76" i="8"/>
  <c r="K76" i="8"/>
  <c r="H76" i="8"/>
  <c r="I76" i="8" s="1"/>
  <c r="J76" i="8" s="1"/>
  <c r="G76" i="8"/>
  <c r="F76" i="8"/>
  <c r="E76" i="8"/>
  <c r="B76" i="8"/>
  <c r="Q75" i="8"/>
  <c r="P75" i="8"/>
  <c r="O75" i="8"/>
  <c r="L23" i="11" s="1"/>
  <c r="M75" i="8"/>
  <c r="K75" i="8"/>
  <c r="H75" i="8"/>
  <c r="I75" i="8" s="1"/>
  <c r="J75" i="8" s="1"/>
  <c r="G75" i="8"/>
  <c r="F75" i="8"/>
  <c r="E75" i="8"/>
  <c r="B75" i="8"/>
  <c r="Q74" i="8"/>
  <c r="P74" i="8"/>
  <c r="O74" i="8"/>
  <c r="L22" i="11" s="1"/>
  <c r="M74" i="8"/>
  <c r="K74" i="8"/>
  <c r="H74" i="8"/>
  <c r="I74" i="8" s="1"/>
  <c r="J74" i="8" s="1"/>
  <c r="G74" i="8"/>
  <c r="F74" i="8"/>
  <c r="E74" i="8"/>
  <c r="B74" i="8"/>
  <c r="Q73" i="8"/>
  <c r="P73" i="8"/>
  <c r="O73" i="8"/>
  <c r="L21" i="11" s="1"/>
  <c r="M73" i="8"/>
  <c r="K73" i="8"/>
  <c r="H73" i="8"/>
  <c r="I73" i="8" s="1"/>
  <c r="J73" i="8" s="1"/>
  <c r="G73" i="8"/>
  <c r="F73" i="8"/>
  <c r="E73" i="8"/>
  <c r="B73" i="8"/>
  <c r="Q72" i="8"/>
  <c r="P72" i="8"/>
  <c r="O72" i="8"/>
  <c r="L20" i="11" s="1"/>
  <c r="M72" i="8"/>
  <c r="K72" i="8"/>
  <c r="H72" i="8"/>
  <c r="I72" i="8" s="1"/>
  <c r="J72" i="8" s="1"/>
  <c r="G72" i="8"/>
  <c r="F72" i="8"/>
  <c r="E72" i="8"/>
  <c r="B72" i="8"/>
  <c r="Q71" i="8"/>
  <c r="P71" i="8"/>
  <c r="O71" i="8"/>
  <c r="L19" i="11" s="1"/>
  <c r="M71" i="8"/>
  <c r="K71" i="8"/>
  <c r="H71" i="8"/>
  <c r="I71" i="8" s="1"/>
  <c r="J71" i="8" s="1"/>
  <c r="G71" i="8"/>
  <c r="F71" i="8"/>
  <c r="E71" i="8"/>
  <c r="B71" i="8"/>
  <c r="Q70" i="8"/>
  <c r="P70" i="8"/>
  <c r="O70" i="8"/>
  <c r="L18" i="11" s="1"/>
  <c r="M70" i="8"/>
  <c r="K70" i="8"/>
  <c r="H70" i="8"/>
  <c r="I70" i="8" s="1"/>
  <c r="J70" i="8" s="1"/>
  <c r="G70" i="8"/>
  <c r="F70" i="8"/>
  <c r="E70" i="8"/>
  <c r="B70" i="8"/>
  <c r="Q69" i="8"/>
  <c r="P69" i="8"/>
  <c r="O69" i="8"/>
  <c r="L17" i="11" s="1"/>
  <c r="M69" i="8"/>
  <c r="K69" i="8"/>
  <c r="H69" i="8"/>
  <c r="I69" i="8" s="1"/>
  <c r="J69" i="8" s="1"/>
  <c r="G69" i="8"/>
  <c r="F69" i="8"/>
  <c r="E69" i="8"/>
  <c r="B69" i="8"/>
  <c r="Q68" i="8"/>
  <c r="P68" i="8"/>
  <c r="O68" i="8"/>
  <c r="L16" i="11" s="1"/>
  <c r="M68" i="8"/>
  <c r="K68" i="8"/>
  <c r="H68" i="8"/>
  <c r="I68" i="8" s="1"/>
  <c r="J68" i="8" s="1"/>
  <c r="G68" i="8"/>
  <c r="F68" i="8"/>
  <c r="E68" i="8"/>
  <c r="B68" i="8"/>
  <c r="Q67" i="8"/>
  <c r="P67" i="8"/>
  <c r="O67" i="8"/>
  <c r="L15" i="11" s="1"/>
  <c r="M67" i="8"/>
  <c r="K67" i="8"/>
  <c r="H67" i="8"/>
  <c r="I67" i="8" s="1"/>
  <c r="J67" i="8" s="1"/>
  <c r="G67" i="8"/>
  <c r="F67" i="8"/>
  <c r="E67" i="8"/>
  <c r="B67" i="8"/>
  <c r="Q66" i="8"/>
  <c r="P66" i="8"/>
  <c r="O66" i="8"/>
  <c r="L14" i="11" s="1"/>
  <c r="M66" i="8"/>
  <c r="K66" i="8"/>
  <c r="H66" i="8"/>
  <c r="I66" i="8" s="1"/>
  <c r="J66" i="8" s="1"/>
  <c r="G66" i="8"/>
  <c r="F66" i="8"/>
  <c r="E66" i="8"/>
  <c r="B66" i="8"/>
  <c r="Q65" i="8"/>
  <c r="P65" i="8"/>
  <c r="O65" i="8"/>
  <c r="L13" i="11" s="1"/>
  <c r="M65" i="8"/>
  <c r="K65" i="8"/>
  <c r="H65" i="8"/>
  <c r="I65" i="8" s="1"/>
  <c r="J65" i="8" s="1"/>
  <c r="G65" i="8"/>
  <c r="F65" i="8"/>
  <c r="E65" i="8"/>
  <c r="B65" i="8"/>
  <c r="Q64" i="8"/>
  <c r="P64" i="8"/>
  <c r="O64" i="8"/>
  <c r="L12" i="11" s="1"/>
  <c r="M64" i="8"/>
  <c r="K64" i="8"/>
  <c r="H64" i="8"/>
  <c r="I64" i="8" s="1"/>
  <c r="J64" i="8" s="1"/>
  <c r="G64" i="8"/>
  <c r="F64" i="8"/>
  <c r="E64" i="8"/>
  <c r="B64" i="8"/>
  <c r="Q63" i="8"/>
  <c r="P63" i="8"/>
  <c r="O63" i="8"/>
  <c r="L11" i="11" s="1"/>
  <c r="M63" i="8"/>
  <c r="K63" i="8"/>
  <c r="H63" i="8"/>
  <c r="I63" i="8" s="1"/>
  <c r="J63" i="8" s="1"/>
  <c r="G63" i="8"/>
  <c r="F63" i="8"/>
  <c r="E63" i="8"/>
  <c r="B63" i="8"/>
  <c r="Q62" i="8"/>
  <c r="P62" i="8"/>
  <c r="O62" i="8"/>
  <c r="L10" i="11" s="1"/>
  <c r="M62" i="8"/>
  <c r="K62" i="8"/>
  <c r="H62" i="8"/>
  <c r="I62" i="8" s="1"/>
  <c r="J62" i="8" s="1"/>
  <c r="G62" i="8"/>
  <c r="F62" i="8"/>
  <c r="E62" i="8"/>
  <c r="B62" i="8"/>
  <c r="Q61" i="8"/>
  <c r="P61" i="8"/>
  <c r="O61" i="8"/>
  <c r="L9" i="11" s="1"/>
  <c r="M61" i="8"/>
  <c r="K61" i="8"/>
  <c r="H61" i="8"/>
  <c r="I61" i="8" s="1"/>
  <c r="J61" i="8" s="1"/>
  <c r="G61" i="8"/>
  <c r="F61" i="8"/>
  <c r="E61" i="8"/>
  <c r="B61" i="8"/>
  <c r="Q60" i="8"/>
  <c r="P60" i="8"/>
  <c r="O60" i="8"/>
  <c r="L8" i="11" s="1"/>
  <c r="M60" i="8"/>
  <c r="K60" i="8"/>
  <c r="H60" i="8"/>
  <c r="I60" i="8" s="1"/>
  <c r="J60" i="8" s="1"/>
  <c r="G60" i="8"/>
  <c r="F60" i="8"/>
  <c r="E60" i="8"/>
  <c r="B60" i="8"/>
  <c r="Q59" i="8"/>
  <c r="P59" i="8"/>
  <c r="O59" i="8"/>
  <c r="L7" i="11" s="1"/>
  <c r="M59" i="8"/>
  <c r="K59" i="8"/>
  <c r="H59" i="8"/>
  <c r="I59" i="8" s="1"/>
  <c r="J59" i="8" s="1"/>
  <c r="G59" i="8"/>
  <c r="F59" i="8"/>
  <c r="E59" i="8"/>
  <c r="B59" i="8"/>
  <c r="Q58" i="8"/>
  <c r="P58" i="8"/>
  <c r="O58" i="8"/>
  <c r="L6" i="11" s="1"/>
  <c r="O6" i="11" s="1"/>
  <c r="O7" i="11" s="1"/>
  <c r="O8" i="11" s="1"/>
  <c r="O9" i="11" s="1"/>
  <c r="O10" i="11" s="1"/>
  <c r="O11" i="11" s="1"/>
  <c r="O12" i="11" s="1"/>
  <c r="O13" i="11" s="1"/>
  <c r="O14" i="11" s="1"/>
  <c r="O15" i="11" s="1"/>
  <c r="O16" i="11" s="1"/>
  <c r="O17" i="11" s="1"/>
  <c r="O18" i="11" s="1"/>
  <c r="O19" i="11" s="1"/>
  <c r="O20" i="11" s="1"/>
  <c r="O21" i="11" s="1"/>
  <c r="O22" i="11" s="1"/>
  <c r="O23" i="11" s="1"/>
  <c r="O24" i="11" s="1"/>
  <c r="O25" i="11" s="1"/>
  <c r="O26" i="11" s="1"/>
  <c r="O27" i="11" s="1"/>
  <c r="O28" i="11" s="1"/>
  <c r="M58" i="8"/>
  <c r="K58" i="8"/>
  <c r="H58" i="8"/>
  <c r="I58" i="8" s="1"/>
  <c r="J58" i="8" s="1"/>
  <c r="G58" i="8"/>
  <c r="F58" i="8"/>
  <c r="E58" i="8"/>
  <c r="B58" i="8"/>
  <c r="C10" i="8"/>
  <c r="C9" i="8"/>
  <c r="C8" i="8"/>
  <c r="C7" i="8"/>
  <c r="C6" i="8"/>
  <c r="C5" i="8"/>
  <c r="C4" i="8"/>
  <c r="Q113" i="3"/>
  <c r="P113" i="3"/>
  <c r="Q112" i="3"/>
  <c r="P112" i="3"/>
  <c r="Q111" i="3"/>
  <c r="P111" i="3"/>
  <c r="Q110" i="3"/>
  <c r="P110" i="3"/>
  <c r="Q109" i="3"/>
  <c r="P109" i="3"/>
  <c r="Q108" i="3"/>
  <c r="P108" i="3"/>
  <c r="Q107" i="3"/>
  <c r="P107" i="3"/>
  <c r="Q106" i="3"/>
  <c r="P106" i="3"/>
  <c r="Q105" i="3"/>
  <c r="P105" i="3"/>
  <c r="Q104" i="3"/>
  <c r="P104" i="3"/>
  <c r="Q103" i="3"/>
  <c r="P103" i="3"/>
  <c r="Q102" i="3"/>
  <c r="P102" i="3"/>
  <c r="Q101" i="3"/>
  <c r="P101" i="3"/>
  <c r="Q100" i="3"/>
  <c r="P100" i="3"/>
  <c r="Q99" i="3"/>
  <c r="P99" i="3"/>
  <c r="Q98" i="3"/>
  <c r="P98" i="3"/>
  <c r="Q97" i="3"/>
  <c r="P97" i="3"/>
  <c r="Q96" i="3"/>
  <c r="P96" i="3"/>
  <c r="Q95" i="3"/>
  <c r="P95" i="3"/>
  <c r="Q94" i="3"/>
  <c r="P94" i="3"/>
  <c r="Q93" i="3"/>
  <c r="P93" i="3"/>
  <c r="Q92" i="3"/>
  <c r="P92" i="3"/>
  <c r="Q91" i="3"/>
  <c r="P91" i="3"/>
  <c r="Q90" i="3"/>
  <c r="P90" i="3"/>
  <c r="Q89" i="3"/>
  <c r="P89" i="3"/>
  <c r="Q88" i="3"/>
  <c r="P88" i="3"/>
  <c r="Q87" i="3"/>
  <c r="P87" i="3"/>
  <c r="Q86" i="3"/>
  <c r="P86" i="3"/>
  <c r="Q85" i="3"/>
  <c r="P85" i="3"/>
  <c r="Q84" i="3"/>
  <c r="P84" i="3"/>
  <c r="Q83" i="3"/>
  <c r="P83" i="3"/>
  <c r="Q82" i="3"/>
  <c r="P82" i="3"/>
  <c r="Q81" i="3"/>
  <c r="P81" i="3"/>
  <c r="Q80" i="3"/>
  <c r="P80" i="3"/>
  <c r="Q79" i="3"/>
  <c r="P79" i="3"/>
  <c r="Q78" i="3"/>
  <c r="P78" i="3"/>
  <c r="Q77" i="3"/>
  <c r="P77" i="3"/>
  <c r="Q76" i="3"/>
  <c r="P76" i="3"/>
  <c r="Q75" i="3"/>
  <c r="P75" i="3"/>
  <c r="Q74" i="3"/>
  <c r="P74" i="3"/>
  <c r="Q73" i="3"/>
  <c r="P73" i="3"/>
  <c r="Q72" i="3"/>
  <c r="P72" i="3"/>
  <c r="Q71" i="3"/>
  <c r="P71" i="3"/>
  <c r="Q70" i="3"/>
  <c r="P70" i="3"/>
  <c r="Q69" i="3"/>
  <c r="P69" i="3"/>
  <c r="Q68" i="3"/>
  <c r="P68" i="3"/>
  <c r="Q67" i="3"/>
  <c r="P67" i="3"/>
  <c r="Q66" i="3"/>
  <c r="P66" i="3"/>
  <c r="Q65" i="3"/>
  <c r="P65" i="3"/>
  <c r="Q64" i="3"/>
  <c r="P64" i="3"/>
  <c r="Q63" i="3"/>
  <c r="P63" i="3"/>
  <c r="Q62" i="3"/>
  <c r="P62" i="3"/>
  <c r="Q61" i="3"/>
  <c r="P61" i="3"/>
  <c r="Q60" i="3"/>
  <c r="P60" i="3"/>
  <c r="Q59" i="3"/>
  <c r="P59" i="3"/>
  <c r="Q58" i="3"/>
  <c r="P58" i="3"/>
  <c r="Q57" i="3"/>
  <c r="P57" i="3"/>
  <c r="Q56" i="3"/>
  <c r="P56" i="3"/>
  <c r="Q55" i="3"/>
  <c r="P55" i="3"/>
  <c r="Q54" i="3"/>
  <c r="P54" i="3"/>
  <c r="Q53" i="3"/>
  <c r="P53" i="3"/>
  <c r="Q52" i="3"/>
  <c r="P52" i="3"/>
  <c r="Q51" i="3"/>
  <c r="P51" i="3"/>
  <c r="Q50" i="3"/>
  <c r="P50" i="3"/>
  <c r="Q49" i="3"/>
  <c r="P49" i="3"/>
  <c r="Q48" i="3"/>
  <c r="P48" i="3"/>
  <c r="Q47" i="3"/>
  <c r="P47" i="3"/>
  <c r="Q46" i="3"/>
  <c r="P46" i="3"/>
  <c r="Q45" i="3"/>
  <c r="P45" i="3"/>
  <c r="Q44" i="3"/>
  <c r="P44" i="3"/>
  <c r="Q43" i="3"/>
  <c r="P43" i="3"/>
  <c r="Q42" i="3"/>
  <c r="P42" i="3"/>
  <c r="Q41" i="3"/>
  <c r="P41" i="3"/>
  <c r="Q40" i="3"/>
  <c r="P40" i="3"/>
  <c r="Q39" i="3"/>
  <c r="P39" i="3"/>
  <c r="Q38" i="3"/>
  <c r="P38" i="3"/>
  <c r="Q37" i="3"/>
  <c r="P37" i="3"/>
  <c r="Q36" i="3"/>
  <c r="P36" i="3"/>
  <c r="Q35" i="3"/>
  <c r="P35" i="3"/>
  <c r="Q34" i="3"/>
  <c r="P34" i="3"/>
  <c r="Q33" i="3"/>
  <c r="P33" i="3"/>
  <c r="Q32" i="3"/>
  <c r="P32" i="3"/>
  <c r="Q31" i="3"/>
  <c r="P31" i="3"/>
  <c r="Q30" i="3"/>
  <c r="P30" i="3"/>
  <c r="Q29" i="3"/>
  <c r="P29" i="3"/>
  <c r="Q28" i="3"/>
  <c r="P28" i="3"/>
  <c r="Q27" i="3"/>
  <c r="P27" i="3"/>
  <c r="Q26" i="3"/>
  <c r="P26" i="3"/>
  <c r="Q25" i="3"/>
  <c r="P25" i="3"/>
  <c r="Q24" i="3"/>
  <c r="P24" i="3"/>
  <c r="Q23" i="3"/>
  <c r="P23" i="3"/>
  <c r="Q22" i="3"/>
  <c r="P22" i="3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Q13" i="3"/>
  <c r="P13" i="3"/>
  <c r="Q12" i="3"/>
  <c r="P12" i="3"/>
  <c r="Q11" i="3"/>
  <c r="P11" i="3"/>
  <c r="Q10" i="3"/>
  <c r="P10" i="3"/>
  <c r="Q9" i="3"/>
  <c r="P9" i="3"/>
  <c r="Q8" i="3"/>
  <c r="P8" i="3"/>
  <c r="Q7" i="3"/>
  <c r="P7" i="3"/>
  <c r="Q6" i="3"/>
  <c r="P6" i="3"/>
  <c r="Q5" i="3"/>
  <c r="P5" i="3"/>
  <c r="Q4" i="3"/>
  <c r="P4" i="3"/>
  <c r="L9" i="7" l="1"/>
  <c r="H9" i="7"/>
  <c r="D9" i="7"/>
  <c r="B10" i="7"/>
  <c r="K9" i="7"/>
  <c r="G9" i="7"/>
  <c r="C9" i="7"/>
  <c r="M9" i="7"/>
  <c r="E9" i="7"/>
  <c r="J9" i="7"/>
  <c r="I9" i="7"/>
  <c r="N9" i="7"/>
  <c r="F9" i="7"/>
  <c r="B56" i="8"/>
  <c r="C8" i="7"/>
  <c r="K8" i="7"/>
  <c r="F8" i="7"/>
  <c r="N8" i="7"/>
  <c r="G8" i="7"/>
  <c r="M8" i="7"/>
  <c r="I8" i="7"/>
  <c r="E8" i="7"/>
  <c r="L8" i="7"/>
  <c r="H8" i="7"/>
  <c r="D8" i="7"/>
  <c r="J8" i="7"/>
  <c r="F7" i="7"/>
  <c r="J7" i="7"/>
  <c r="T7" i="11"/>
  <c r="B11" i="7" l="1"/>
  <c r="K10" i="7"/>
  <c r="G10" i="7"/>
  <c r="C10" i="7"/>
  <c r="N10" i="7"/>
  <c r="J10" i="7"/>
  <c r="F10" i="7"/>
  <c r="H10" i="7"/>
  <c r="M10" i="7"/>
  <c r="E10" i="7"/>
  <c r="L10" i="7"/>
  <c r="D10" i="7"/>
  <c r="I10" i="7"/>
  <c r="T8" i="11"/>
  <c r="N11" i="7" l="1"/>
  <c r="J11" i="7"/>
  <c r="F11" i="7"/>
  <c r="M11" i="7"/>
  <c r="I11" i="7"/>
  <c r="E11" i="7"/>
  <c r="K11" i="7"/>
  <c r="C11" i="7"/>
  <c r="H11" i="7"/>
  <c r="B12" i="7"/>
  <c r="G11" i="7"/>
  <c r="L11" i="7"/>
  <c r="D11" i="7"/>
  <c r="T9" i="11"/>
  <c r="T10" i="11" s="1"/>
  <c r="T11" i="11" s="1"/>
  <c r="T12" i="11" s="1"/>
  <c r="T13" i="11" s="1"/>
  <c r="T14" i="11" s="1"/>
  <c r="T15" i="11" s="1"/>
  <c r="T16" i="11" s="1"/>
  <c r="T17" i="11" s="1"/>
  <c r="T18" i="11" s="1"/>
  <c r="T19" i="11" s="1"/>
  <c r="T20" i="11" s="1"/>
  <c r="T21" i="11" s="1"/>
  <c r="T22" i="11" s="1"/>
  <c r="T23" i="11" s="1"/>
  <c r="T24" i="11" s="1"/>
  <c r="T25" i="11" s="1"/>
  <c r="T26" i="11" s="1"/>
  <c r="T27" i="11" s="1"/>
  <c r="T28" i="11" s="1"/>
  <c r="T29" i="11" s="1"/>
  <c r="T30" i="11" s="1"/>
  <c r="T31" i="11" s="1"/>
  <c r="T32" i="11" s="1"/>
  <c r="T33" i="11" s="1"/>
  <c r="T34" i="11" s="1"/>
  <c r="T35" i="11" s="1"/>
  <c r="T36" i="11" s="1"/>
  <c r="T37" i="11" s="1"/>
  <c r="T38" i="11" s="1"/>
  <c r="T39" i="11" s="1"/>
  <c r="T40" i="11" s="1"/>
  <c r="T41" i="11" s="1"/>
  <c r="T42" i="11" s="1"/>
  <c r="T43" i="11" s="1"/>
  <c r="T44" i="11" s="1"/>
  <c r="T45" i="11" s="1"/>
  <c r="T46" i="11" s="1"/>
  <c r="T47" i="11" s="1"/>
  <c r="T48" i="11" s="1"/>
  <c r="T49" i="11" s="1"/>
  <c r="T50" i="11" s="1"/>
  <c r="T51" i="11" s="1"/>
  <c r="T52" i="11" s="1"/>
  <c r="T53" i="11" s="1"/>
  <c r="T54" i="11" s="1"/>
  <c r="T55" i="11" s="1"/>
  <c r="T56" i="11" s="1"/>
  <c r="T57" i="11" s="1"/>
  <c r="T58" i="11" s="1"/>
  <c r="T59" i="11" s="1"/>
  <c r="T60" i="11" s="1"/>
  <c r="T61" i="11" s="1"/>
  <c r="T62" i="11" s="1"/>
  <c r="T63" i="11" s="1"/>
  <c r="T64" i="11" s="1"/>
  <c r="T65" i="11" s="1"/>
  <c r="T66" i="11" s="1"/>
  <c r="T67" i="11" s="1"/>
  <c r="T68" i="11" s="1"/>
  <c r="T69" i="11" s="1"/>
  <c r="T70" i="11" s="1"/>
  <c r="T71" i="11" s="1"/>
  <c r="T72" i="11" s="1"/>
  <c r="T73" i="11" s="1"/>
  <c r="T74" i="11" s="1"/>
  <c r="T75" i="11" s="1"/>
  <c r="T76" i="11" s="1"/>
  <c r="T77" i="11" s="1"/>
  <c r="T78" i="11" s="1"/>
  <c r="T79" i="11" s="1"/>
  <c r="T80" i="11" s="1"/>
  <c r="T81" i="11" s="1"/>
  <c r="T82" i="11" s="1"/>
  <c r="T83" i="11" s="1"/>
  <c r="T84" i="11" s="1"/>
  <c r="T85" i="11" s="1"/>
  <c r="T86" i="11" s="1"/>
  <c r="T87" i="11" s="1"/>
  <c r="T88" i="11" s="1"/>
  <c r="T89" i="11" s="1"/>
  <c r="T90" i="11" s="1"/>
  <c r="T91" i="11" s="1"/>
  <c r="T92" i="11" s="1"/>
  <c r="T93" i="11" s="1"/>
  <c r="T94" i="11" s="1"/>
  <c r="T95" i="11" s="1"/>
  <c r="T96" i="11" s="1"/>
  <c r="T97" i="11" s="1"/>
  <c r="T98" i="11" s="1"/>
  <c r="T99" i="11" s="1"/>
  <c r="T100" i="11" s="1"/>
  <c r="T101" i="11" s="1"/>
  <c r="T102" i="11" s="1"/>
  <c r="T103" i="11" s="1"/>
  <c r="T104" i="11" s="1"/>
  <c r="T105" i="11" s="1"/>
  <c r="T106" i="11" s="1"/>
  <c r="T107" i="11" s="1"/>
  <c r="T108" i="11" s="1"/>
  <c r="T109" i="11" s="1"/>
  <c r="T110" i="11" s="1"/>
  <c r="T111" i="11" s="1"/>
  <c r="T112" i="11" s="1"/>
  <c r="T113" i="11" s="1"/>
  <c r="T114" i="11" s="1"/>
  <c r="T115" i="11" s="1"/>
  <c r="T116" i="11" s="1"/>
  <c r="T117" i="11" s="1"/>
  <c r="T118" i="11" s="1"/>
  <c r="T119" i="11" s="1"/>
  <c r="T120" i="11" s="1"/>
  <c r="T121" i="11" s="1"/>
  <c r="T122" i="11" s="1"/>
  <c r="T123" i="11" s="1"/>
  <c r="T124" i="11" s="1"/>
  <c r="T125" i="11" s="1"/>
  <c r="T126" i="11" s="1"/>
  <c r="T127" i="11" s="1"/>
  <c r="T128" i="11" s="1"/>
  <c r="T129" i="11" s="1"/>
  <c r="T130" i="11" s="1"/>
  <c r="T131" i="11" s="1"/>
  <c r="T132" i="11" s="1"/>
  <c r="T133" i="11" s="1"/>
  <c r="T134" i="11" s="1"/>
  <c r="T135" i="11" s="1"/>
  <c r="T136" i="11" s="1"/>
  <c r="T137" i="11" s="1"/>
  <c r="T138" i="11" s="1"/>
  <c r="T139" i="11" s="1"/>
  <c r="T140" i="11" s="1"/>
  <c r="T141" i="11" s="1"/>
  <c r="T142" i="11" s="1"/>
  <c r="T143" i="11" s="1"/>
  <c r="T144" i="11" s="1"/>
  <c r="T145" i="11" s="1"/>
  <c r="T146" i="11" s="1"/>
  <c r="T147" i="11" s="1"/>
  <c r="T148" i="11" s="1"/>
  <c r="T149" i="11" s="1"/>
  <c r="T150" i="11" s="1"/>
  <c r="T151" i="11" s="1"/>
  <c r="T152" i="11" s="1"/>
  <c r="T153" i="11" s="1"/>
  <c r="T154" i="11" s="1"/>
  <c r="T155" i="11" s="1"/>
  <c r="T156" i="11" s="1"/>
  <c r="T157" i="11" s="1"/>
  <c r="T158" i="11" s="1"/>
  <c r="T159" i="11" s="1"/>
  <c r="T160" i="11" s="1"/>
  <c r="T161" i="11" s="1"/>
  <c r="T162" i="11" s="1"/>
  <c r="T163" i="11" s="1"/>
  <c r="T164" i="11" s="1"/>
  <c r="T165" i="11" s="1"/>
  <c r="T166" i="11" s="1"/>
  <c r="T167" i="11" s="1"/>
  <c r="T168" i="11" s="1"/>
  <c r="T169" i="11" s="1"/>
  <c r="T170" i="11" s="1"/>
  <c r="T171" i="11" s="1"/>
  <c r="T172" i="11" s="1"/>
  <c r="T173" i="11" s="1"/>
  <c r="T174" i="11" s="1"/>
  <c r="T175" i="11" s="1"/>
  <c r="T176" i="11" s="1"/>
  <c r="T177" i="11" s="1"/>
  <c r="T178" i="11" s="1"/>
  <c r="T179" i="11" s="1"/>
  <c r="T180" i="11" s="1"/>
  <c r="T181" i="11" s="1"/>
  <c r="T182" i="11" s="1"/>
  <c r="T183" i="11" s="1"/>
  <c r="T184" i="11" s="1"/>
  <c r="T185" i="11" s="1"/>
  <c r="T186" i="11" s="1"/>
  <c r="T187" i="11" s="1"/>
  <c r="T188" i="11" s="1"/>
  <c r="T189" i="11" s="1"/>
  <c r="T190" i="11" s="1"/>
  <c r="T191" i="11" s="1"/>
  <c r="T192" i="11" s="1"/>
  <c r="T193" i="11" s="1"/>
  <c r="T194" i="11" s="1"/>
  <c r="T195" i="11" s="1"/>
  <c r="T196" i="11" s="1"/>
  <c r="T197" i="11" s="1"/>
  <c r="T198" i="11" s="1"/>
  <c r="T199" i="11" s="1"/>
  <c r="T200" i="11" s="1"/>
  <c r="T201" i="11" s="1"/>
  <c r="T202" i="11" s="1"/>
  <c r="T203" i="11" s="1"/>
  <c r="T204" i="11" s="1"/>
  <c r="T205" i="11" s="1"/>
  <c r="B41" i="9" s="1"/>
  <c r="V11" i="11" l="1"/>
  <c r="M12" i="7"/>
  <c r="I12" i="7"/>
  <c r="E12" i="7"/>
  <c r="L12" i="7"/>
  <c r="H12" i="7"/>
  <c r="D12" i="7"/>
  <c r="N12" i="7"/>
  <c r="F12" i="7"/>
  <c r="K12" i="7"/>
  <c r="C12" i="7"/>
  <c r="J12" i="7"/>
  <c r="B13" i="7"/>
  <c r="G12" i="7"/>
  <c r="V14" i="11"/>
  <c r="V15" i="11"/>
  <c r="V17" i="11"/>
  <c r="V9" i="11"/>
  <c r="V20" i="11"/>
  <c r="V8" i="11"/>
  <c r="V6" i="11"/>
  <c r="V10" i="11"/>
  <c r="V19" i="11"/>
  <c r="V12" i="11"/>
  <c r="V7" i="11"/>
  <c r="V16" i="11"/>
  <c r="V13" i="11"/>
  <c r="V18" i="11"/>
  <c r="E55" i="9" l="1"/>
  <c r="D55" i="9"/>
  <c r="C55" i="9"/>
  <c r="B55" i="9"/>
  <c r="G55" i="9"/>
  <c r="F55" i="9"/>
  <c r="E49" i="9"/>
  <c r="D49" i="9"/>
  <c r="G49" i="9"/>
  <c r="F49" i="9"/>
  <c r="C49" i="9"/>
  <c r="B49" i="9"/>
  <c r="E45" i="9"/>
  <c r="D45" i="9"/>
  <c r="G45" i="9"/>
  <c r="F45" i="9"/>
  <c r="C45" i="9"/>
  <c r="B45" i="9"/>
  <c r="G52" i="9"/>
  <c r="C52" i="9"/>
  <c r="F52" i="9"/>
  <c r="B52" i="9"/>
  <c r="E52" i="9"/>
  <c r="D52" i="9"/>
  <c r="G56" i="9"/>
  <c r="C56" i="9"/>
  <c r="F56" i="9"/>
  <c r="B56" i="9"/>
  <c r="E56" i="9"/>
  <c r="D56" i="9"/>
  <c r="E57" i="9"/>
  <c r="D57" i="9"/>
  <c r="G57" i="9"/>
  <c r="F57" i="9"/>
  <c r="C57" i="9"/>
  <c r="B57" i="9"/>
  <c r="E51" i="9"/>
  <c r="D51" i="9"/>
  <c r="C51" i="9"/>
  <c r="B51" i="9"/>
  <c r="G51" i="9"/>
  <c r="F51" i="9"/>
  <c r="G50" i="9"/>
  <c r="C50" i="9"/>
  <c r="F50" i="9"/>
  <c r="B50" i="9"/>
  <c r="E50" i="9"/>
  <c r="D50" i="9"/>
  <c r="E53" i="9"/>
  <c r="D53" i="9"/>
  <c r="G53" i="9"/>
  <c r="F53" i="9"/>
  <c r="C53" i="9"/>
  <c r="B53" i="9"/>
  <c r="E47" i="9"/>
  <c r="D47" i="9"/>
  <c r="C47" i="9"/>
  <c r="B47" i="9"/>
  <c r="G47" i="9"/>
  <c r="F47" i="9"/>
  <c r="G46" i="9"/>
  <c r="C46" i="9"/>
  <c r="F46" i="9"/>
  <c r="B46" i="9"/>
  <c r="E46" i="9"/>
  <c r="D46" i="9"/>
  <c r="G44" i="9"/>
  <c r="C44" i="9"/>
  <c r="F44" i="9"/>
  <c r="B44" i="9"/>
  <c r="E44" i="9"/>
  <c r="D44" i="9"/>
  <c r="E43" i="9"/>
  <c r="D43" i="9"/>
  <c r="C43" i="9"/>
  <c r="B43" i="9"/>
  <c r="G43" i="9"/>
  <c r="F43" i="9"/>
  <c r="G54" i="9"/>
  <c r="C54" i="9"/>
  <c r="F54" i="9"/>
  <c r="B54" i="9"/>
  <c r="E54" i="9"/>
  <c r="D54" i="9"/>
  <c r="L13" i="7"/>
  <c r="H13" i="7"/>
  <c r="D13" i="7"/>
  <c r="B14" i="7"/>
  <c r="K13" i="7"/>
  <c r="G13" i="7"/>
  <c r="C13" i="7"/>
  <c r="I13" i="7"/>
  <c r="N13" i="7"/>
  <c r="F13" i="7"/>
  <c r="M13" i="7"/>
  <c r="E13" i="7"/>
  <c r="J13" i="7"/>
  <c r="G48" i="9"/>
  <c r="C48" i="9"/>
  <c r="F48" i="9"/>
  <c r="B48" i="9"/>
  <c r="E48" i="9"/>
  <c r="D48" i="9"/>
  <c r="B15" i="7" l="1"/>
  <c r="K14" i="7"/>
  <c r="G14" i="7"/>
  <c r="C14" i="7"/>
  <c r="N14" i="7"/>
  <c r="J14" i="7"/>
  <c r="F14" i="7"/>
  <c r="L14" i="7"/>
  <c r="D14" i="7"/>
  <c r="I14" i="7"/>
  <c r="H14" i="7"/>
  <c r="M14" i="7"/>
  <c r="E14" i="7"/>
  <c r="N15" i="7" l="1"/>
  <c r="J15" i="7"/>
  <c r="F15" i="7"/>
  <c r="M15" i="7"/>
  <c r="I15" i="7"/>
  <c r="E15" i="7"/>
  <c r="B16" i="7"/>
  <c r="G15" i="7"/>
  <c r="L15" i="7"/>
  <c r="D15" i="7"/>
  <c r="K15" i="7"/>
  <c r="C15" i="7"/>
  <c r="H15" i="7"/>
  <c r="M16" i="7" l="1"/>
  <c r="I16" i="7"/>
  <c r="E16" i="7"/>
  <c r="L16" i="7"/>
  <c r="H16" i="7"/>
  <c r="D16" i="7"/>
  <c r="J16" i="7"/>
  <c r="B17" i="7"/>
  <c r="G16" i="7"/>
  <c r="N16" i="7"/>
  <c r="F16" i="7"/>
  <c r="K16" i="7"/>
  <c r="C16" i="7"/>
  <c r="L17" i="7" l="1"/>
  <c r="H17" i="7"/>
  <c r="D17" i="7"/>
  <c r="B18" i="7"/>
  <c r="K17" i="7"/>
  <c r="G17" i="7"/>
  <c r="C17" i="7"/>
  <c r="M17" i="7"/>
  <c r="E17" i="7"/>
  <c r="J17" i="7"/>
  <c r="I17" i="7"/>
  <c r="N17" i="7"/>
  <c r="F17" i="7"/>
  <c r="N18" i="7" l="1"/>
  <c r="J18" i="7"/>
  <c r="F18" i="7"/>
  <c r="M18" i="7"/>
  <c r="H18" i="7"/>
  <c r="C18" i="7"/>
  <c r="L18" i="7"/>
  <c r="G18" i="7"/>
  <c r="I18" i="7"/>
  <c r="E18" i="7"/>
  <c r="B19" i="7"/>
  <c r="D18" i="7"/>
  <c r="K18" i="7"/>
  <c r="M19" i="7" l="1"/>
  <c r="I19" i="7"/>
  <c r="E19" i="7"/>
  <c r="K19" i="7"/>
  <c r="F19" i="7"/>
  <c r="B20" i="7"/>
  <c r="J19" i="7"/>
  <c r="D19" i="7"/>
  <c r="N19" i="7"/>
  <c r="H19" i="7"/>
  <c r="C19" i="7"/>
  <c r="L19" i="7"/>
  <c r="G19" i="7"/>
  <c r="L20" i="7" l="1"/>
  <c r="H20" i="7"/>
  <c r="D20" i="7"/>
  <c r="N20" i="7"/>
  <c r="I20" i="7"/>
  <c r="C20" i="7"/>
  <c r="M20" i="7"/>
  <c r="G20" i="7"/>
  <c r="K20" i="7"/>
  <c r="F20" i="7"/>
  <c r="B21" i="7"/>
  <c r="J20" i="7"/>
  <c r="E20" i="7"/>
  <c r="B22" i="7" l="1"/>
  <c r="K21" i="7"/>
  <c r="G21" i="7"/>
  <c r="C21" i="7"/>
  <c r="L21" i="7"/>
  <c r="F21" i="7"/>
  <c r="J21" i="7"/>
  <c r="E21" i="7"/>
  <c r="N21" i="7"/>
  <c r="I21" i="7"/>
  <c r="D21" i="7"/>
  <c r="H21" i="7"/>
  <c r="M21" i="7"/>
  <c r="N22" i="7" l="1"/>
  <c r="J22" i="7"/>
  <c r="F22" i="7"/>
  <c r="B23" i="7"/>
  <c r="I22" i="7"/>
  <c r="D22" i="7"/>
  <c r="M22" i="7"/>
  <c r="H22" i="7"/>
  <c r="C22" i="7"/>
  <c r="L22" i="7"/>
  <c r="G22" i="7"/>
  <c r="K22" i="7"/>
  <c r="E22" i="7"/>
  <c r="M23" i="7" l="1"/>
  <c r="I23" i="7"/>
  <c r="E23" i="7"/>
  <c r="L23" i="7"/>
  <c r="G23" i="7"/>
  <c r="K23" i="7"/>
  <c r="F23" i="7"/>
  <c r="B24" i="7"/>
  <c r="J23" i="7"/>
  <c r="D23" i="7"/>
  <c r="C23" i="7"/>
  <c r="N23" i="7"/>
  <c r="H23" i="7"/>
  <c r="L24" i="7" l="1"/>
  <c r="H24" i="7"/>
  <c r="D24" i="7"/>
  <c r="B25" i="7"/>
  <c r="J24" i="7"/>
  <c r="E24" i="7"/>
  <c r="N24" i="7"/>
  <c r="I24" i="7"/>
  <c r="C24" i="7"/>
  <c r="M24" i="7"/>
  <c r="G24" i="7"/>
  <c r="K24" i="7"/>
  <c r="F24" i="7"/>
  <c r="B26" i="7" l="1"/>
  <c r="K25" i="7"/>
  <c r="G25" i="7"/>
  <c r="C25" i="7"/>
  <c r="M25" i="7"/>
  <c r="H25" i="7"/>
  <c r="L25" i="7"/>
  <c r="F25" i="7"/>
  <c r="J25" i="7"/>
  <c r="E25" i="7"/>
  <c r="N25" i="7"/>
  <c r="I25" i="7"/>
  <c r="D25" i="7"/>
  <c r="N26" i="7" l="1"/>
  <c r="J26" i="7"/>
  <c r="F26" i="7"/>
  <c r="K26" i="7"/>
  <c r="E26" i="7"/>
  <c r="B27" i="7"/>
  <c r="I26" i="7"/>
  <c r="D26" i="7"/>
  <c r="M26" i="7"/>
  <c r="H26" i="7"/>
  <c r="C26" i="7"/>
  <c r="G26" i="7"/>
  <c r="L26" i="7"/>
  <c r="M27" i="7" l="1"/>
  <c r="I27" i="7"/>
  <c r="E27" i="7"/>
  <c r="N27" i="7"/>
  <c r="H27" i="7"/>
  <c r="C27" i="7"/>
  <c r="L27" i="7"/>
  <c r="G27" i="7"/>
  <c r="K27" i="7"/>
  <c r="F27" i="7"/>
  <c r="B28" i="7"/>
  <c r="J27" i="7"/>
  <c r="D27" i="7"/>
  <c r="L28" i="7" l="1"/>
  <c r="H28" i="7"/>
  <c r="D28" i="7"/>
  <c r="K28" i="7"/>
  <c r="F28" i="7"/>
  <c r="B29" i="7"/>
  <c r="J28" i="7"/>
  <c r="E28" i="7"/>
  <c r="N28" i="7"/>
  <c r="I28" i="7"/>
  <c r="C28" i="7"/>
  <c r="M28" i="7"/>
  <c r="G28" i="7"/>
  <c r="B30" i="7" l="1"/>
  <c r="K29" i="7"/>
  <c r="G29" i="7"/>
  <c r="C29" i="7"/>
  <c r="N29" i="7"/>
  <c r="I29" i="7"/>
  <c r="J29" i="7"/>
  <c r="D29" i="7"/>
  <c r="H29" i="7"/>
  <c r="M29" i="7"/>
  <c r="F29" i="7"/>
  <c r="L29" i="7"/>
  <c r="E29" i="7"/>
  <c r="N30" i="7" l="1"/>
  <c r="J30" i="7"/>
  <c r="F30" i="7"/>
  <c r="L30" i="7"/>
  <c r="G30" i="7"/>
  <c r="K30" i="7"/>
  <c r="D30" i="7"/>
  <c r="I30" i="7"/>
  <c r="C30" i="7"/>
  <c r="B31" i="7"/>
  <c r="H30" i="7"/>
  <c r="M30" i="7"/>
  <c r="E30" i="7"/>
  <c r="M31" i="7" l="1"/>
  <c r="I31" i="7"/>
  <c r="E31" i="7"/>
  <c r="B32" i="7"/>
  <c r="J31" i="7"/>
  <c r="D31" i="7"/>
  <c r="L31" i="7"/>
  <c r="F31" i="7"/>
  <c r="K31" i="7"/>
  <c r="C31" i="7"/>
  <c r="H31" i="7"/>
  <c r="N31" i="7"/>
  <c r="G31" i="7"/>
  <c r="L32" i="7" l="1"/>
  <c r="H32" i="7"/>
  <c r="D32" i="7"/>
  <c r="M32" i="7"/>
  <c r="G32" i="7"/>
  <c r="N32" i="7"/>
  <c r="F32" i="7"/>
  <c r="K32" i="7"/>
  <c r="E32" i="7"/>
  <c r="J32" i="7"/>
  <c r="C32" i="7"/>
  <c r="B33" i="7"/>
  <c r="I32" i="7"/>
  <c r="B34" i="7" l="1"/>
  <c r="K33" i="7"/>
  <c r="G33" i="7"/>
  <c r="C33" i="7"/>
  <c r="J33" i="7"/>
  <c r="E33" i="7"/>
  <c r="N33" i="7"/>
  <c r="H33" i="7"/>
  <c r="M33" i="7"/>
  <c r="F33" i="7"/>
  <c r="L33" i="7"/>
  <c r="D33" i="7"/>
  <c r="I33" i="7"/>
  <c r="N34" i="7" l="1"/>
  <c r="J34" i="7"/>
  <c r="F34" i="7"/>
  <c r="M34" i="7"/>
  <c r="H34" i="7"/>
  <c r="C34" i="7"/>
  <c r="I34" i="7"/>
  <c r="B35" i="7"/>
  <c r="G34" i="7"/>
  <c r="L34" i="7"/>
  <c r="E34" i="7"/>
  <c r="D34" i="7"/>
  <c r="K34" i="7"/>
  <c r="M35" i="7" l="1"/>
  <c r="I35" i="7"/>
  <c r="E35" i="7"/>
  <c r="K35" i="7"/>
  <c r="F35" i="7"/>
  <c r="J35" i="7"/>
  <c r="C35" i="7"/>
  <c r="B36" i="7"/>
  <c r="H35" i="7"/>
  <c r="N35" i="7"/>
  <c r="G35" i="7"/>
  <c r="L35" i="7"/>
  <c r="D35" i="7"/>
  <c r="L36" i="7" l="1"/>
  <c r="H36" i="7"/>
  <c r="D36" i="7"/>
  <c r="N36" i="7"/>
  <c r="I36" i="7"/>
  <c r="C36" i="7"/>
  <c r="K36" i="7"/>
  <c r="E36" i="7"/>
  <c r="J36" i="7"/>
  <c r="B37" i="7"/>
  <c r="G36" i="7"/>
  <c r="F36" i="7"/>
  <c r="M36" i="7"/>
  <c r="B38" i="7" l="1"/>
  <c r="K37" i="7"/>
  <c r="G37" i="7"/>
  <c r="C37" i="7"/>
  <c r="L37" i="7"/>
  <c r="F37" i="7"/>
  <c r="M37" i="7"/>
  <c r="E37" i="7"/>
  <c r="J37" i="7"/>
  <c r="D37" i="7"/>
  <c r="I37" i="7"/>
  <c r="N37" i="7"/>
  <c r="H37" i="7"/>
  <c r="N38" i="7" l="1"/>
  <c r="J38" i="7"/>
  <c r="F38" i="7"/>
  <c r="B39" i="7"/>
  <c r="I38" i="7"/>
  <c r="D38" i="7"/>
  <c r="M38" i="7"/>
  <c r="G38" i="7"/>
  <c r="L38" i="7"/>
  <c r="E38" i="7"/>
  <c r="K38" i="7"/>
  <c r="C38" i="7"/>
  <c r="H38" i="7"/>
  <c r="M39" i="7" l="1"/>
  <c r="I39" i="7"/>
  <c r="E39" i="7"/>
  <c r="L39" i="7"/>
  <c r="G39" i="7"/>
  <c r="B40" i="7"/>
  <c r="H39" i="7"/>
  <c r="N39" i="7"/>
  <c r="F39" i="7"/>
  <c r="K39" i="7"/>
  <c r="D39" i="7"/>
  <c r="J39" i="7"/>
  <c r="C39" i="7"/>
  <c r="L40" i="7" l="1"/>
  <c r="H40" i="7"/>
  <c r="D40" i="7"/>
  <c r="B41" i="7"/>
  <c r="J40" i="7"/>
  <c r="E40" i="7"/>
  <c r="I40" i="7"/>
  <c r="N40" i="7"/>
  <c r="G40" i="7"/>
  <c r="M40" i="7"/>
  <c r="F40" i="7"/>
  <c r="K40" i="7"/>
  <c r="C40" i="7"/>
  <c r="B42" i="7" l="1"/>
  <c r="K41" i="7"/>
  <c r="G41" i="7"/>
  <c r="C41" i="7"/>
  <c r="M41" i="7"/>
  <c r="H41" i="7"/>
  <c r="J41" i="7"/>
  <c r="D41" i="7"/>
  <c r="I41" i="7"/>
  <c r="N41" i="7"/>
  <c r="F41" i="7"/>
  <c r="L41" i="7"/>
  <c r="E41" i="7"/>
  <c r="N42" i="7" l="1"/>
  <c r="J42" i="7"/>
  <c r="F42" i="7"/>
  <c r="K42" i="7"/>
  <c r="E42" i="7"/>
  <c r="L42" i="7"/>
  <c r="D42" i="7"/>
  <c r="I42" i="7"/>
  <c r="C42" i="7"/>
  <c r="B43" i="7"/>
  <c r="H42" i="7"/>
  <c r="M42" i="7"/>
  <c r="G42" i="7"/>
  <c r="M43" i="7" l="1"/>
  <c r="I43" i="7"/>
  <c r="E43" i="7"/>
  <c r="N43" i="7"/>
  <c r="H43" i="7"/>
  <c r="C43" i="7"/>
  <c r="L43" i="7"/>
  <c r="F43" i="7"/>
  <c r="K43" i="7"/>
  <c r="D43" i="7"/>
  <c r="J43" i="7"/>
  <c r="B44" i="7"/>
  <c r="G43" i="7"/>
  <c r="L44" i="7" l="1"/>
  <c r="H44" i="7"/>
  <c r="D44" i="7"/>
  <c r="K44" i="7"/>
  <c r="F44" i="7"/>
  <c r="N44" i="7"/>
  <c r="G44" i="7"/>
  <c r="M44" i="7"/>
  <c r="E44" i="7"/>
  <c r="J44" i="7"/>
  <c r="C44" i="7"/>
  <c r="B45" i="7"/>
  <c r="I44" i="7"/>
  <c r="B46" i="7" l="1"/>
  <c r="K45" i="7"/>
  <c r="G45" i="7"/>
  <c r="C45" i="7"/>
  <c r="N45" i="7"/>
  <c r="I45" i="7"/>
  <c r="D45" i="7"/>
  <c r="H45" i="7"/>
  <c r="M45" i="7"/>
  <c r="F45" i="7"/>
  <c r="L45" i="7"/>
  <c r="E45" i="7"/>
  <c r="J45" i="7"/>
  <c r="N46" i="7" l="1"/>
  <c r="J46" i="7"/>
  <c r="F46" i="7"/>
  <c r="L46" i="7"/>
  <c r="G46" i="7"/>
  <c r="I46" i="7"/>
  <c r="C46" i="7"/>
  <c r="B47" i="7"/>
  <c r="H46" i="7"/>
  <c r="M46" i="7"/>
  <c r="E46" i="7"/>
  <c r="K46" i="7"/>
  <c r="D46" i="7"/>
  <c r="M47" i="7" l="1"/>
  <c r="I47" i="7"/>
  <c r="E47" i="7"/>
  <c r="B48" i="7"/>
  <c r="J47" i="7"/>
  <c r="D47" i="7"/>
  <c r="K47" i="7"/>
  <c r="C47" i="7"/>
  <c r="H47" i="7"/>
  <c r="N47" i="7"/>
  <c r="G47" i="7"/>
  <c r="F47" i="7"/>
  <c r="L47" i="7"/>
  <c r="L48" i="7" l="1"/>
  <c r="H48" i="7"/>
  <c r="D48" i="7"/>
  <c r="M48" i="7"/>
  <c r="G48" i="7"/>
  <c r="K48" i="7"/>
  <c r="E48" i="7"/>
  <c r="J48" i="7"/>
  <c r="C48" i="7"/>
  <c r="B49" i="7"/>
  <c r="I48" i="7"/>
  <c r="N48" i="7"/>
  <c r="F48" i="7"/>
  <c r="B50" i="7" l="1"/>
  <c r="K49" i="7"/>
  <c r="G49" i="7"/>
  <c r="C49" i="7"/>
  <c r="J49" i="7"/>
  <c r="E49" i="7"/>
  <c r="M49" i="7"/>
  <c r="F49" i="7"/>
  <c r="L49" i="7"/>
  <c r="D49" i="7"/>
  <c r="I49" i="7"/>
  <c r="H49" i="7"/>
  <c r="N49" i="7"/>
  <c r="N50" i="7" l="1"/>
  <c r="J50" i="7"/>
  <c r="F50" i="7"/>
  <c r="M50" i="7"/>
  <c r="H50" i="7"/>
  <c r="C50" i="7"/>
  <c r="B51" i="7"/>
  <c r="G50" i="7"/>
  <c r="L50" i="7"/>
  <c r="E50" i="7"/>
  <c r="K50" i="7"/>
  <c r="D50" i="7"/>
  <c r="I50" i="7"/>
  <c r="M51" i="7" l="1"/>
  <c r="I51" i="7"/>
  <c r="E51" i="7"/>
  <c r="K51" i="7"/>
  <c r="F51" i="7"/>
  <c r="B52" i="7"/>
  <c r="H51" i="7"/>
  <c r="N51" i="7"/>
  <c r="G51" i="7"/>
  <c r="L51" i="7"/>
  <c r="D51" i="7"/>
  <c r="J51" i="7"/>
  <c r="C51" i="7"/>
  <c r="L52" i="7" l="1"/>
  <c r="H52" i="7"/>
  <c r="D52" i="7"/>
  <c r="N52" i="7"/>
  <c r="I52" i="7"/>
  <c r="C52" i="7"/>
  <c r="J52" i="7"/>
  <c r="B53" i="7"/>
  <c r="G52" i="7"/>
  <c r="M52" i="7"/>
  <c r="F52" i="7"/>
  <c r="K52" i="7"/>
  <c r="E52" i="7"/>
  <c r="B54" i="7" l="1"/>
  <c r="K53" i="7"/>
  <c r="G53" i="7"/>
  <c r="C53" i="7"/>
  <c r="L53" i="7"/>
  <c r="F53" i="7"/>
  <c r="J53" i="7"/>
  <c r="D53" i="7"/>
  <c r="I53" i="7"/>
  <c r="N53" i="7"/>
  <c r="H53" i="7"/>
  <c r="M53" i="7"/>
  <c r="E53" i="7"/>
  <c r="N54" i="7" l="1"/>
  <c r="J54" i="7"/>
  <c r="F54" i="7"/>
  <c r="B55" i="7"/>
  <c r="I54" i="7"/>
  <c r="D54" i="7"/>
  <c r="L54" i="7"/>
  <c r="E54" i="7"/>
  <c r="K54" i="7"/>
  <c r="C54" i="7"/>
  <c r="H54" i="7"/>
  <c r="M54" i="7"/>
  <c r="G54" i="7"/>
  <c r="M55" i="7" l="1"/>
  <c r="I55" i="7"/>
  <c r="E55" i="7"/>
  <c r="L55" i="7"/>
  <c r="G55" i="7"/>
  <c r="N55" i="7"/>
  <c r="F55" i="7"/>
  <c r="K55" i="7"/>
  <c r="D55" i="7"/>
  <c r="J55" i="7"/>
  <c r="C55" i="7"/>
  <c r="B56" i="7"/>
  <c r="H55" i="7"/>
  <c r="L56" i="7" l="1"/>
  <c r="H56" i="7"/>
  <c r="D56" i="7"/>
  <c r="B57" i="7"/>
  <c r="J56" i="7"/>
  <c r="E56" i="7"/>
  <c r="N56" i="7"/>
  <c r="G56" i="7"/>
  <c r="M56" i="7"/>
  <c r="F56" i="7"/>
  <c r="K56" i="7"/>
  <c r="C56" i="7"/>
  <c r="I56" i="7"/>
  <c r="B58" i="7" l="1"/>
  <c r="K57" i="7"/>
  <c r="G57" i="7"/>
  <c r="C57" i="7"/>
  <c r="M57" i="7"/>
  <c r="H57" i="7"/>
  <c r="I57" i="7"/>
  <c r="N57" i="7"/>
  <c r="F57" i="7"/>
  <c r="L57" i="7"/>
  <c r="E57" i="7"/>
  <c r="J57" i="7"/>
  <c r="D57" i="7"/>
  <c r="N58" i="7" l="1"/>
  <c r="J58" i="7"/>
  <c r="F58" i="7"/>
  <c r="K58" i="7"/>
  <c r="E58" i="7"/>
  <c r="I58" i="7"/>
  <c r="C58" i="7"/>
  <c r="B59" i="7"/>
  <c r="H58" i="7"/>
  <c r="M58" i="7"/>
  <c r="G58" i="7"/>
  <c r="D58" i="7"/>
  <c r="L58" i="7"/>
  <c r="M59" i="7" l="1"/>
  <c r="I59" i="7"/>
  <c r="E59" i="7"/>
  <c r="N59" i="7"/>
  <c r="H59" i="7"/>
  <c r="C59" i="7"/>
  <c r="K59" i="7"/>
  <c r="D59" i="7"/>
  <c r="J59" i="7"/>
  <c r="G59" i="7"/>
  <c r="L59" i="7"/>
  <c r="F59" i="7"/>
</calcChain>
</file>

<file path=xl/sharedStrings.xml><?xml version="1.0" encoding="utf-8"?>
<sst xmlns="http://schemas.openxmlformats.org/spreadsheetml/2006/main" count="733" uniqueCount="514">
  <si>
    <t>NEPHRO HEALTHCARE TRACKER ( PERSONAL ) - Ver 2.0</t>
  </si>
  <si>
    <t>Read all Instructions very carefully before commencing Data Entry in any Datasheet</t>
  </si>
  <si>
    <t>Record Vitals at Home  →  Update Lab Reports { prior to each Consultation / Doctor's visit / Before Every Follow-up</t>
  </si>
  <si>
    <t>Send by E-Mail prior to your Follow-up / Carry along Prints of the Doctor Pack (Doctor Referral Report + Dashboard + Daily Vitals Log)</t>
  </si>
  <si>
    <t>YOUR VITALS DATA ROUTINE — 5 SIMPLE STEPS</t>
  </si>
  <si>
    <t>DOCTOR PACK ( 3 SHEETS, ABOUT 6 PAGES ) : E-MAIL / BE CARRIED FOR CONSULTATIONS</t>
  </si>
  <si>
    <t>1</t>
  </si>
  <si>
    <r>
      <rPr>
        <b/>
        <sz val="11"/>
        <color rgb="FF1B3A6B"/>
        <rFont val="Calibri"/>
        <family val="2"/>
      </rPr>
      <t>Once:</t>
    </r>
    <r>
      <rPr>
        <sz val="11"/>
        <color rgb="FF262626"/>
        <rFont val="Calibri"/>
        <family val="2"/>
      </rPr>
      <t xml:space="preserve"> Fill 👤 Patient Info (yellow cells). Every other sheet reads from it.</t>
    </r>
  </si>
  <si>
    <r>
      <rPr>
        <sz val="11"/>
        <color rgb="FF262626"/>
        <rFont val="Calibri"/>
        <family val="2"/>
      </rPr>
      <t xml:space="preserve">Send or carry </t>
    </r>
    <r>
      <rPr>
        <b/>
        <sz val="11"/>
        <color rgb="FF1E5C2E"/>
        <rFont val="Calibri"/>
        <family val="2"/>
      </rPr>
      <t>only these three sheets</t>
    </r>
    <r>
      <rPr>
        <sz val="11"/>
        <color rgb="FF262626"/>
        <rFont val="Calibri"/>
        <family val="2"/>
      </rPr>
      <t>. In a 10–15 minute consultation the doctor needs a clear summary first, with the day-by-day readings behind it.</t>
    </r>
  </si>
  <si>
    <t>2</t>
  </si>
  <si>
    <r>
      <rPr>
        <b/>
        <sz val="11"/>
        <color rgb="FF1B3A6B"/>
        <rFont val="Calibri"/>
        <family val="2"/>
      </rPr>
      <t>Every day:</t>
    </r>
    <r>
      <rPr>
        <sz val="11"/>
        <color rgb="FF262626"/>
        <rFont val="Calibri"/>
        <family val="2"/>
      </rPr>
      <t xml:space="preserve"> Record / enter BP, Pulse, SpO₂, Weight, Fluids and Sugar (FBS) in 📅 Daily Vitals Log.</t>
    </r>
  </si>
  <si>
    <r>
      <rPr>
        <b/>
        <sz val="11"/>
        <color rgb="FF1B3A6B"/>
        <rFont val="Calibri"/>
        <family val="2"/>
      </rPr>
      <t>🩺 Doctor Referral Report (1 page)</t>
    </r>
    <r>
      <rPr>
        <sz val="11"/>
        <color rgb="FF262626"/>
        <rFont val="Calibri"/>
        <family val="2"/>
      </rPr>
      <t xml:space="preserve"> — who you are, last-7-day vitals, latest labs, current medicines, space for the doctor's plan.</t>
    </r>
  </si>
  <si>
    <t>3</t>
  </si>
  <si>
    <r>
      <rPr>
        <b/>
        <sz val="11"/>
        <color rgb="FF1B3A6B"/>
        <rFont val="Calibri"/>
        <family val="2"/>
      </rPr>
      <t>At Each Lab test / Visit:</t>
    </r>
    <r>
      <rPr>
        <sz val="11"/>
        <color rgb="FF262626"/>
        <rFont val="Calibri"/>
        <family val="2"/>
      </rPr>
      <t xml:space="preserve"> Type the test date in row 4 of 🧪 Lab Results (oldest first, left to right, no empty column), then the results below it in relevant cells.</t>
    </r>
  </si>
  <si>
    <r>
      <rPr>
        <b/>
        <sz val="11"/>
        <color rgb="FF1B3A6B"/>
        <rFont val="Calibri"/>
        <family val="2"/>
      </rPr>
      <t>📈 Dashboard (2 pages)</t>
    </r>
    <r>
      <rPr>
        <sz val="11"/>
        <color rgb="FF262626"/>
        <rFont val="Calibri"/>
        <family val="2"/>
      </rPr>
      <t xml:space="preserve"> — alerts, creatinine / eGFR / tacrolimus trends, lab snapshot, home BP, weight, urine, SpO₂ and sugar trends.</t>
    </r>
  </si>
  <si>
    <t>4</t>
  </si>
  <si>
    <r>
      <rPr>
        <b/>
        <sz val="11"/>
        <color rgb="FF1B3A6B"/>
        <rFont val="Calibri"/>
        <family val="2"/>
      </rPr>
      <t>When New Medicines are Added / Medicines Change:</t>
    </r>
    <r>
      <rPr>
        <sz val="11"/>
        <color rgb="FF262626"/>
        <rFont val="Calibri"/>
        <family val="2"/>
      </rPr>
      <t xml:space="preserve"> Add a new line (For New Meds) in 💊 Medication History and set Status = ACTIVE. If dosage of a particular medicine is Incr / Decr, mark it as CHANGED and put the Date of change at relevant place (column J ). Add a fresh Medication Entry [With Revised Data] in a Blank New Row and set its Status = ACTIVE. Add a remark suitably in  " Clinical Notes / Remarks" Column.</t>
    </r>
  </si>
  <si>
    <r>
      <rPr>
        <b/>
        <sz val="11"/>
        <color rgb="FF1B3A6B"/>
        <rFont val="Calibri"/>
        <family val="2"/>
      </rPr>
      <t>📅 Daily Vitals Log (about 3 pages)</t>
    </r>
    <r>
      <rPr>
        <sz val="11"/>
        <color rgb="FF262626"/>
        <rFont val="Calibri"/>
        <family val="2"/>
      </rPr>
      <t xml:space="preserve"> — every day's BP, pulse, SpO₂, weight, fluids, urine and sugar, for the doctor to study in detail.</t>
    </r>
  </si>
  <si>
    <t>5</t>
  </si>
  <si>
    <r>
      <rPr>
        <b/>
        <sz val="11"/>
        <color rgb="FF1B3A6B"/>
        <rFont val="Calibri"/>
        <family val="2"/>
      </rPr>
      <t>Before each visit:</t>
    </r>
    <r>
      <rPr>
        <sz val="11"/>
        <color rgb="FF262626"/>
        <rFont val="Calibri"/>
        <family val="2"/>
      </rPr>
      <t xml:space="preserve"> check 🩺 Doctor Referral Report, 📈 Dashboard and 📅 Daily Vitals Log, then send by E-Mail / Carry along :  the Doctor Pack (see right).</t>
    </r>
  </si>
  <si>
    <t>DOCTOR PACK : OPTION 1 — SAVE AS PDF (RECOMMENDED)</t>
  </si>
  <si>
    <r>
      <rPr>
        <sz val="11"/>
        <color rgb="FF262626"/>
        <rFont val="Calibri"/>
        <family val="2"/>
      </rPr>
      <t xml:space="preserve">Click the </t>
    </r>
    <r>
      <rPr>
        <b/>
        <sz val="11"/>
        <color rgb="FF1B3A6B"/>
        <rFont val="Calibri"/>
        <family val="2"/>
      </rPr>
      <t>🩺 Doctor Referral Report</t>
    </r>
    <r>
      <rPr>
        <sz val="11"/>
        <color rgb="FF262626"/>
        <rFont val="Calibri"/>
        <family val="2"/>
      </rPr>
      <t xml:space="preserve"> tab, hold </t>
    </r>
    <r>
      <rPr>
        <b/>
        <sz val="11"/>
        <color rgb="FF1B3A6B"/>
        <rFont val="Calibri"/>
        <family val="2"/>
      </rPr>
      <t>Ctrl</t>
    </r>
    <r>
      <rPr>
        <sz val="11"/>
        <color rgb="FF262626"/>
        <rFont val="Calibri"/>
        <family val="2"/>
      </rPr>
      <t xml:space="preserve"> and click the </t>
    </r>
    <r>
      <rPr>
        <b/>
        <sz val="11"/>
        <color rgb="FF1B3A6B"/>
        <rFont val="Calibri"/>
        <family val="2"/>
      </rPr>
      <t>📈 Dashboard</t>
    </r>
    <r>
      <rPr>
        <sz val="11"/>
        <color rgb="FF262626"/>
        <rFont val="Calibri"/>
        <family val="2"/>
      </rPr>
      <t xml:space="preserve"> and </t>
    </r>
    <r>
      <rPr>
        <b/>
        <sz val="11"/>
        <color rgb="FF1B3A6B"/>
        <rFont val="Calibri"/>
        <family val="2"/>
      </rPr>
      <t>📅 Daily Vitals Log</t>
    </r>
    <r>
      <rPr>
        <sz val="11"/>
        <color rgb="FF262626"/>
        <rFont val="Calibri"/>
        <family val="2"/>
      </rPr>
      <t xml:space="preserve"> tabs — all three are now selected.</t>
    </r>
  </si>
  <si>
    <t>COLOUR CODES IN USE</t>
  </si>
  <si>
    <r>
      <rPr>
        <sz val="11"/>
        <color rgb="FF262626"/>
        <rFont val="Calibri"/>
        <family val="2"/>
      </rPr>
      <t xml:space="preserve">Press </t>
    </r>
    <r>
      <rPr>
        <b/>
        <sz val="11"/>
        <color rgb="FF1B3A6B"/>
        <rFont val="Calibri"/>
        <family val="2"/>
      </rPr>
      <t>Ctrl+P</t>
    </r>
    <r>
      <rPr>
        <sz val="11"/>
        <color rgb="FF262626"/>
        <rFont val="Calibri"/>
        <family val="2"/>
      </rPr>
      <t xml:space="preserve"> (Windows) or </t>
    </r>
    <r>
      <rPr>
        <b/>
        <sz val="11"/>
        <color rgb="FF1B3A6B"/>
        <rFont val="Calibri"/>
        <family val="2"/>
      </rPr>
      <t>Cmd+P</t>
    </r>
    <r>
      <rPr>
        <sz val="11"/>
        <color rgb="FF262626"/>
        <rFont val="Calibri"/>
        <family val="2"/>
      </rPr>
      <t xml:space="preserve"> (Mac). Printer: Microsoft Print to PDF (Windows) or Save as PDF (Mac).</t>
    </r>
  </si>
  <si>
    <r>
      <rPr>
        <b/>
        <sz val="11"/>
        <color rgb="FF1B3A6B"/>
        <rFont val="Calibri"/>
        <family val="2"/>
      </rPr>
      <t>Yellow cell</t>
    </r>
    <r>
      <rPr>
        <sz val="11"/>
        <color rgb="FF262626"/>
        <rFont val="Calibri"/>
        <family val="2"/>
      </rPr>
      <t xml:space="preserve"> = you type here</t>
    </r>
  </si>
  <si>
    <r>
      <rPr>
        <b/>
        <sz val="11"/>
        <color rgb="FF1B3A6B"/>
        <rFont val="Calibri"/>
        <family val="2"/>
      </rPr>
      <t>White / grey cell</t>
    </r>
    <r>
      <rPr>
        <sz val="11"/>
        <color rgb="FF262626"/>
        <rFont val="Calibri"/>
        <family val="2"/>
      </rPr>
      <t xml:space="preserve"> = works itself out — please don't overwrite</t>
    </r>
  </si>
  <si>
    <r>
      <rPr>
        <sz val="11"/>
        <color rgb="FF262626"/>
        <rFont val="Calibri"/>
        <family val="2"/>
      </rPr>
      <t xml:space="preserve">Under Settings choose </t>
    </r>
    <r>
      <rPr>
        <b/>
        <sz val="11"/>
        <color rgb="FF1B3A6B"/>
        <rFont val="Calibri"/>
        <family val="2"/>
      </rPr>
      <t>Print Active Sheets</t>
    </r>
    <r>
      <rPr>
        <sz val="11"/>
        <color rgb="FF262626"/>
        <rFont val="Calibri"/>
        <family val="2"/>
      </rPr>
      <t xml:space="preserve"> — not Print Entire Workbook.</t>
    </r>
  </si>
  <si>
    <r>
      <rPr>
        <b/>
        <sz val="11"/>
        <color rgb="FF1B3A6B"/>
        <rFont val="Calibri"/>
        <family val="2"/>
      </rPr>
      <t>Red / orange</t>
    </r>
    <r>
      <rPr>
        <sz val="11"/>
        <color rgb="FF262626"/>
        <rFont val="Calibri"/>
        <family val="2"/>
      </rPr>
      <t xml:space="preserve"> = outside the safe limit — INFORM your doctor</t>
    </r>
  </si>
  <si>
    <r>
      <rPr>
        <sz val="11"/>
        <color rgb="FF262626"/>
        <rFont val="Calibri"/>
        <family val="2"/>
      </rPr>
      <t xml:space="preserve">Click Print / Save and name the file, e.g. </t>
    </r>
    <r>
      <rPr>
        <b/>
        <sz val="11"/>
        <color rgb="FF1B3A6B"/>
        <rFont val="Calibri"/>
        <family val="2"/>
      </rPr>
      <t>PatientName_Doctor_Pack_05Oct2026.pdf</t>
    </r>
    <r>
      <rPr>
        <sz val="11"/>
        <color rgb="FF262626"/>
        <rFont val="Calibri"/>
        <family val="2"/>
      </rPr>
      <t>.</t>
    </r>
  </si>
  <si>
    <t>BEFORE EVERY CONSULTATION APPOINTMENT / VISIT — CHECKLIST</t>
  </si>
  <si>
    <t>☐  Daily Vitals Log is filled in and is up to today</t>
  </si>
  <si>
    <r>
      <rPr>
        <sz val="11"/>
        <color rgb="FF262626"/>
        <rFont val="Calibri"/>
        <family val="2"/>
      </rPr>
      <t>Email or WhatsApp the PDF to your doctor before the visit. Then click any other tab to un-select the sheets.</t>
    </r>
  </si>
  <si>
    <t>☐  Latest lab results have been entered, dates oldest → newest</t>
  </si>
  <si>
    <t>☐  Medication History is up to date</t>
  </si>
  <si>
    <t>☐  Dashboard Layout and Doctor Referral Report look right</t>
  </si>
  <si>
    <t>DOCTOR PACK : OPTION 2 — PRINT ON PAPER</t>
  </si>
  <si>
    <t>☐  Dated copy of this file saved (e.g. Nephro_Tracker_05Oct2026.xlsx)</t>
  </si>
  <si>
    <t>▶</t>
  </si>
  <si>
    <r>
      <rPr>
        <sz val="11"/>
        <color rgb="FF262626"/>
        <rFont val="Calibri"/>
        <family val="2"/>
      </rPr>
      <t xml:space="preserve">Select the same three tabs → </t>
    </r>
    <r>
      <rPr>
        <b/>
        <sz val="11"/>
        <color rgb="FF1B3A6B"/>
        <rFont val="Calibri"/>
        <family val="2"/>
      </rPr>
      <t>Ctrl+P</t>
    </r>
    <r>
      <rPr>
        <sz val="11"/>
        <color rgb="FF262626"/>
        <rFont val="Calibri"/>
        <family val="2"/>
      </rPr>
      <t xml:space="preserve"> → </t>
    </r>
    <r>
      <rPr>
        <b/>
        <sz val="11"/>
        <color rgb="FF1B3A6B"/>
        <rFont val="Calibri"/>
        <family val="2"/>
      </rPr>
      <t>Print Active Sheets</t>
    </r>
    <r>
      <rPr>
        <sz val="11"/>
        <color rgb="FF262626"/>
        <rFont val="Calibri"/>
        <family val="2"/>
      </rPr>
      <t xml:space="preserve"> → choose printer → Print. Carry the pages to the clinic.</t>
    </r>
  </si>
  <si>
    <t>WHAT EACH SHEET CONTAINS  (colour = tab colour,  ★ = goes to the doctor)</t>
  </si>
  <si>
    <r>
      <rPr>
        <b/>
        <sz val="11"/>
        <color rgb="FF1B3A6B"/>
        <rFont val="Calibri"/>
        <family val="2"/>
      </rPr>
      <t>📋 How To Print</t>
    </r>
    <r>
      <rPr>
        <sz val="11"/>
        <color rgb="FF262626"/>
        <rFont val="Calibri"/>
        <family val="2"/>
      </rPr>
      <t xml:space="preserve"> → This guide</t>
    </r>
  </si>
  <si>
    <t>ONLY IF THE DOCTOR ASKS — KEEP READY, DON'T SEND ROUTINELY</t>
  </si>
  <si>
    <t>★</t>
  </si>
  <si>
    <r>
      <rPr>
        <b/>
        <sz val="11"/>
        <color rgb="FF1B3A6B"/>
        <rFont val="Calibri"/>
        <family val="2"/>
      </rPr>
      <t>🩺 Doctor Referral Report</t>
    </r>
    <r>
      <rPr>
        <sz val="11"/>
        <color rgb="FF262626"/>
        <rFont val="Calibri"/>
        <family val="2"/>
      </rPr>
      <t xml:space="preserve"> → 1-page summary for the doctor</t>
    </r>
  </si>
  <si>
    <r>
      <rPr>
        <b/>
        <sz val="11"/>
        <color rgb="FF1B3A6B"/>
        <rFont val="Calibri"/>
        <family val="2"/>
      </rPr>
      <t>🧪 Lab Results</t>
    </r>
    <r>
      <rPr>
        <sz val="11"/>
        <color rgb="FF262626"/>
        <rFont val="Calibri"/>
        <family val="2"/>
      </rPr>
      <t xml:space="preserve"> — the full table, to compare older tests</t>
    </r>
  </si>
  <si>
    <r>
      <rPr>
        <b/>
        <sz val="11"/>
        <color rgb="FF1B3A6B"/>
        <rFont val="Calibri"/>
        <family val="2"/>
      </rPr>
      <t>📈 Dashboard</t>
    </r>
    <r>
      <rPr>
        <sz val="11"/>
        <color rgb="FF262626"/>
        <rFont val="Calibri"/>
        <family val="2"/>
      </rPr>
      <t xml:space="preserve"> → Alerts, lab snapshot, 8 trend charts</t>
    </r>
  </si>
  <si>
    <r>
      <rPr>
        <b/>
        <sz val="11"/>
        <color rgb="FF1B3A6B"/>
        <rFont val="Calibri"/>
        <family val="2"/>
      </rPr>
      <t>💊 Medication History</t>
    </r>
    <r>
      <rPr>
        <sz val="11"/>
        <color rgb="FF262626"/>
        <rFont val="Calibri"/>
        <family val="2"/>
      </rPr>
      <t xml:space="preserve"> — to review past dose changes</t>
    </r>
  </si>
  <si>
    <r>
      <rPr>
        <b/>
        <sz val="11"/>
        <color rgb="FF1B3A6B"/>
        <rFont val="Calibri"/>
        <family val="2"/>
      </rPr>
      <t>👤 Patient Info</t>
    </r>
    <r>
      <rPr>
        <sz val="11"/>
        <color rgb="FF262626"/>
        <rFont val="Calibri"/>
        <family val="2"/>
      </rPr>
      <t xml:space="preserve"> → Demographics, transplant details, history</t>
    </r>
  </si>
  <si>
    <r>
      <rPr>
        <b/>
        <sz val="11"/>
        <color rgb="FF1B3A6B"/>
        <rFont val="Calibri"/>
        <family val="2"/>
      </rPr>
      <t>📊 Weekly Summary</t>
    </r>
    <r>
      <rPr>
        <sz val="11"/>
        <color rgb="FF262626"/>
        <rFont val="Calibri"/>
        <family val="2"/>
      </rPr>
      <t xml:space="preserve"> — week-by-week averages (1 page)</t>
    </r>
  </si>
  <si>
    <r>
      <rPr>
        <b/>
        <sz val="11"/>
        <color rgb="FF1B3A6B"/>
        <rFont val="Calibri"/>
        <family val="2"/>
      </rPr>
      <t>📅 Daily Vitals Log</t>
    </r>
    <r>
      <rPr>
        <sz val="11"/>
        <color rgb="FF262626"/>
        <rFont val="Calibri"/>
        <family val="2"/>
      </rPr>
      <t xml:space="preserve"> → BP, pulse, SpO₂, weight, fluids, sugar</t>
    </r>
  </si>
  <si>
    <r>
      <rPr>
        <b/>
        <sz val="11"/>
        <color rgb="FF1B3A6B"/>
        <rFont val="Calibri"/>
        <family val="2"/>
      </rPr>
      <t>Original hospital lab reports</t>
    </r>
    <r>
      <rPr>
        <sz val="11"/>
        <color rgb="FF262626"/>
        <rFont val="Calibri"/>
        <family val="2"/>
      </rPr>
      <t xml:space="preserve"> — the official record (Always better to Carry along during consultation visits)</t>
    </r>
  </si>
  <si>
    <r>
      <rPr>
        <b/>
        <sz val="11"/>
        <color rgb="FF1B3A6B"/>
        <rFont val="Calibri"/>
        <family val="2"/>
      </rPr>
      <t>🧪 Lab Results</t>
    </r>
    <r>
      <rPr>
        <sz val="11"/>
        <color rgb="FF262626"/>
        <rFont val="Calibri"/>
        <family val="2"/>
      </rPr>
      <t xml:space="preserve"> → All blood &amp; urine tests across dates</t>
    </r>
  </si>
  <si>
    <r>
      <rPr>
        <b/>
        <sz val="11"/>
        <color rgb="FF1B3A6B"/>
        <rFont val="Calibri"/>
        <family val="2"/>
      </rPr>
      <t>💊 Medication History</t>
    </r>
    <r>
      <rPr>
        <sz val="11"/>
        <color rgb="FF262626"/>
        <rFont val="Calibri"/>
        <family val="2"/>
      </rPr>
      <t xml:space="preserve"> → Medicine log: start, stop, changes</t>
    </r>
  </si>
  <si>
    <r>
      <rPr>
        <b/>
        <sz val="11"/>
        <color rgb="FF1B3A6B"/>
        <rFont val="Calibri"/>
        <family val="2"/>
      </rPr>
      <t>🗓 Doctor Visit Log</t>
    </r>
    <r>
      <rPr>
        <sz val="11"/>
        <color rgb="FF262626"/>
        <rFont val="Calibri"/>
        <family val="2"/>
      </rPr>
      <t xml:space="preserve"> → Date of consultation + key values per visit</t>
    </r>
  </si>
  <si>
    <t>PLEASE DON'T SEND THE ENTIRE WORKBOOK [ By E-mail / Whatsapp ]</t>
  </si>
  <si>
    <r>
      <rPr>
        <b/>
        <sz val="11"/>
        <color rgb="FF1B3A6B"/>
        <rFont val="Calibri"/>
        <family val="2"/>
      </rPr>
      <t>📊 Weekly Summary</t>
    </r>
    <r>
      <rPr>
        <sz val="11"/>
        <color rgb="FF262626"/>
        <rFont val="Calibri"/>
        <family val="2"/>
      </rPr>
      <t xml:space="preserve"> → Weekly averages + alert counts</t>
    </r>
  </si>
  <si>
    <r>
      <rPr>
        <sz val="11"/>
        <color rgb="FF262626"/>
        <rFont val="Calibri"/>
        <family val="2"/>
      </rPr>
      <t xml:space="preserve">Sending every sheet adds </t>
    </r>
    <r>
      <rPr>
        <b/>
        <sz val="11"/>
        <color rgb="FF922B21"/>
        <rFont val="Calibri"/>
        <family val="2"/>
      </rPr>
      <t>8+ more pages</t>
    </r>
    <r>
      <rPr>
        <sz val="11"/>
        <color rgb="FF262626"/>
        <rFont val="Calibri"/>
        <family val="2"/>
      </rPr>
      <t xml:space="preserve"> of raw tables (patient info, lab table, medication log, visit log, settings). They bury the key findings, use up the doctor's limited time, and share more personal data than needed. </t>
    </r>
    <r>
      <rPr>
        <b/>
        <sz val="11"/>
        <color rgb="FF922B21"/>
        <rFont val="Calibri"/>
        <family val="2"/>
      </rPr>
      <t>Keep the full file for your own records.</t>
    </r>
  </si>
  <si>
    <r>
      <rPr>
        <b/>
        <sz val="11"/>
        <color rgb="FF1B3A6B"/>
        <rFont val="Calibri"/>
        <family val="2"/>
      </rPr>
      <t>📖 Lab Reference Ranges</t>
    </r>
    <r>
      <rPr>
        <sz val="11"/>
        <color rgb="FF262626"/>
        <rFont val="Calibri"/>
        <family val="2"/>
      </rPr>
      <t xml:space="preserve"> → Post-transplant targets</t>
    </r>
  </si>
  <si>
    <r>
      <rPr>
        <b/>
        <sz val="11"/>
        <color rgb="FF1B3A6B"/>
        <rFont val="Calibri"/>
        <family val="2"/>
      </rPr>
      <t>⚙ Dashboard Settings</t>
    </r>
    <r>
      <rPr>
        <sz val="11"/>
        <color rgb="FF262626"/>
        <rFont val="Calibri"/>
        <family val="2"/>
      </rPr>
      <t xml:space="preserve"> → Alert limits you can edit</t>
    </r>
  </si>
  <si>
    <t>NEPHROLOGY FOLLOW-UP TRACKER</t>
  </si>
  <si>
    <t>Patient Information Sheet  |  Complete once — all other sheets reference this page</t>
  </si>
  <si>
    <t>Treating Nephrologist:</t>
  </si>
  <si>
    <t>Doctor Name:</t>
  </si>
  <si>
    <t>Doctor Phone:</t>
  </si>
  <si>
    <t>Hospital / Clinic:</t>
  </si>
  <si>
    <t>Doctor Email:</t>
  </si>
  <si>
    <t>Reg. No.:</t>
  </si>
  <si>
    <t>Website:</t>
  </si>
  <si>
    <t xml:space="preserve">  PATIENT DETAILS</t>
  </si>
  <si>
    <t>Patient Name:</t>
  </si>
  <si>
    <t>Patient ID / MRD No.:</t>
  </si>
  <si>
    <t>Date of Birth:</t>
  </si>
  <si>
    <t>Referring Doctor:</t>
  </si>
  <si>
    <t>Age (years):</t>
  </si>
  <si>
    <t>Diagnosis:</t>
  </si>
  <si>
    <t>Gender:</t>
  </si>
  <si>
    <t>Transplant Date:</t>
  </si>
  <si>
    <t>Blood Group:</t>
  </si>
  <si>
    <t>Donor Type:</t>
  </si>
  <si>
    <t>Contact No.:</t>
  </si>
  <si>
    <t xml:space="preserve">  TRANSPLANT &amp; MEDICAL HISTORY</t>
  </si>
  <si>
    <t>Primary Kidney Disease:</t>
  </si>
  <si>
    <t>Dialysis History (from – to):</t>
  </si>
  <si>
    <t>Known Allergies:</t>
  </si>
  <si>
    <t>Comorbidities:</t>
  </si>
  <si>
    <t>Current Immunosuppression Regimen:</t>
  </si>
  <si>
    <t>As per Medication History sheet</t>
  </si>
  <si>
    <t>Other Medications:</t>
  </si>
  <si>
    <t xml:space="preserve">  NOTES / CLINICIAN INSTRUCTIONS</t>
  </si>
  <si>
    <t>DAILY HOME MONITORING LOG — KIDNEY TRANSPLANT PATIENT</t>
  </si>
  <si>
    <t>Fill every day at the SAME time. Yellow cells = mandatory.  Alert doctor immediately for RED values.  Bring this log to every visit.</t>
  </si>
  <si>
    <t>Date</t>
  </si>
  <si>
    <t>BP Systolic
(mmHg)</t>
  </si>
  <si>
    <t>BP Diastolic
(mmHg)</t>
  </si>
  <si>
    <t>Pulse
(bpm)</t>
  </si>
  <si>
    <t>SpO₂
(%)</t>
  </si>
  <si>
    <t>Temp
(°F)</t>
  </si>
  <si>
    <t>Weight
(kg)</t>
  </si>
  <si>
    <t>Fluid In
(mL)</t>
  </si>
  <si>
    <t>Urine Out
(mL)</t>
  </si>
  <si>
    <t>Urine Freq
(#/day)</t>
  </si>
  <si>
    <t>Oedema?
(Y/N)</t>
  </si>
  <si>
    <t>Blood Sugar
(mg/dL)</t>
  </si>
  <si>
    <t>Meds
Taken?</t>
  </si>
  <si>
    <t>Symptoms /
Notes</t>
  </si>
  <si>
    <t>BP
Alert</t>
  </si>
  <si>
    <t>SpO₂
Alert</t>
  </si>
  <si>
    <t>COLOUR LEGEND:  🟡 Yellow = Mandatory entry  |  🔴 Red BP = outside the BP limits in ⚙ Dashboard Settings (default: Systolic &gt;140 or &lt;90, Diastolic &gt;90)  |  🚨 Red SpO₂ = &lt;94% (call doctor)  |  🟠 Orange Sugar = above alert limit in ⚙ Dashboard Settings (default &gt;180 mg/dL)  |  * Blood Sugar = fasting value before breakfast  |  Fluid In = all liquids consumed  |  Urine Out = total 24-hr collection</t>
  </si>
  <si>
    <t>BLOOD &amp; URINE TEST LOG  —  SERIAL LAB RESULTS</t>
  </si>
  <si>
    <t>HOW TO ENTER:  type each test date in row 4 (DATE →), moving LEFT → RIGHT and OLDEST FIRST, with no empty column in between (out-of-order dates are blocked). Then enter that visit's results below; leave a result blank if it was not tested.   🟢 = Normal   🟡 = Borderline   🔴 = Out of Range</t>
  </si>
  <si>
    <t>Test / Parameter</t>
  </si>
  <si>
    <t>Unit</t>
  </si>
  <si>
    <t>Normal Range
(General)</t>
  </si>
  <si>
    <t>TX Target
(Post-Tx)</t>
  </si>
  <si>
    <t>Frequency</t>
  </si>
  <si>
    <t>Test Date 1
(enter date →)</t>
  </si>
  <si>
    <t>Test Date 2
(enter date →)</t>
  </si>
  <si>
    <t>Test Date 3
(enter date →)</t>
  </si>
  <si>
    <t>Test Date 4
(enter date →)</t>
  </si>
  <si>
    <t>Test Date 5
(enter date →)</t>
  </si>
  <si>
    <t>Test Date 6
(enter date →)</t>
  </si>
  <si>
    <t>Test Date 7
(enter date →)</t>
  </si>
  <si>
    <t>Test Date 8
(enter date →)</t>
  </si>
  <si>
    <t>Test Date 9
(enter date →)</t>
  </si>
  <si>
    <t>Test Date 10
(enter date →)</t>
  </si>
  <si>
    <t>Test Date 11
(enter date →)</t>
  </si>
  <si>
    <t>Test Date 12
(enter date →)</t>
  </si>
  <si>
    <t>Test Date 13
(enter date →)</t>
  </si>
  <si>
    <t>Test Date 14
(enter date →)</t>
  </si>
  <si>
    <t>Test Date 15
(enter date →)</t>
  </si>
  <si>
    <t>Test Date 16
(enter date →)</t>
  </si>
  <si>
    <t>Test Date 17
(enter date →)</t>
  </si>
  <si>
    <t>Test Date 18
(enter date →)</t>
  </si>
  <si>
    <t>Test Date 19
(enter date →)</t>
  </si>
  <si>
    <t>Test Date 20
(enter date →)</t>
  </si>
  <si>
    <t>DATE →</t>
  </si>
  <si>
    <t xml:space="preserve">  RENAL FUNCTION</t>
  </si>
  <si>
    <t>Serum Creatinine</t>
  </si>
  <si>
    <t>mg/dL</t>
  </si>
  <si>
    <t>0.6 – 1.2</t>
  </si>
  <si>
    <t>Stable baseline</t>
  </si>
  <si>
    <t>Monthly</t>
  </si>
  <si>
    <t>eGFR</t>
  </si>
  <si>
    <t>mL/min</t>
  </si>
  <si>
    <t>≥ 60</t>
  </si>
  <si>
    <t>≥ 45</t>
  </si>
  <si>
    <t>Tacrolimus Trough</t>
  </si>
  <si>
    <t>ng/mL</t>
  </si>
  <si>
    <t>—</t>
  </si>
  <si>
    <t>Early: 8–12 | Late: 5–8</t>
  </si>
  <si>
    <t xml:space="preserve">  ELECTROLYTES</t>
  </si>
  <si>
    <t>Calcium (Total)</t>
  </si>
  <si>
    <t>8.5 – 10.5</t>
  </si>
  <si>
    <t>8.5 – 10.2</t>
  </si>
  <si>
    <t>Phosphorus</t>
  </si>
  <si>
    <t>2.5 – 4.5</t>
  </si>
  <si>
    <t>Uric Acid</t>
  </si>
  <si>
    <t>2.4 – 7.0</t>
  </si>
  <si>
    <t>&lt; 7.0</t>
  </si>
  <si>
    <t>Potassium</t>
  </si>
  <si>
    <t>mEq/L</t>
  </si>
  <si>
    <t>3.5 – 5.0</t>
  </si>
  <si>
    <t>Sodium</t>
  </si>
  <si>
    <t>135 – 145</t>
  </si>
  <si>
    <t>Serum Bicarbonate</t>
  </si>
  <si>
    <t>22 – 29</t>
  </si>
  <si>
    <t xml:space="preserve">  METABOLIC / GLUCOSE</t>
  </si>
  <si>
    <t>FBS (Fasting Sugar)</t>
  </si>
  <si>
    <t>70 – 100</t>
  </si>
  <si>
    <t>70 – 126</t>
  </si>
  <si>
    <t>PPBS (Post-meal)</t>
  </si>
  <si>
    <t>≤ 140</t>
  </si>
  <si>
    <t>≤ 180</t>
  </si>
  <si>
    <t>HbA1c</t>
  </si>
  <si>
    <t>%</t>
  </si>
  <si>
    <t>≤ 5.7</t>
  </si>
  <si>
    <t>≤ 7.0</t>
  </si>
  <si>
    <t>3-Monthly</t>
  </si>
  <si>
    <t xml:space="preserve">  COMPLETE BLOOD COUNT</t>
  </si>
  <si>
    <t>Haemoglobin</t>
  </si>
  <si>
    <t>g/dL</t>
  </si>
  <si>
    <t>12 – 17</t>
  </si>
  <si>
    <t>11 – 14</t>
  </si>
  <si>
    <t>TLC (WBC)</t>
  </si>
  <si>
    <t>×10³/μL</t>
  </si>
  <si>
    <t>4 – 11</t>
  </si>
  <si>
    <t>4 – 10</t>
  </si>
  <si>
    <t>Platelets</t>
  </si>
  <si>
    <t>150 – 400</t>
  </si>
  <si>
    <t>150 – 350</t>
  </si>
  <si>
    <t xml:space="preserve">  LIVER &amp; METABOLIC</t>
  </si>
  <si>
    <t>Serum Albumin</t>
  </si>
  <si>
    <t>Total Bilirubin</t>
  </si>
  <si>
    <t>≤ 1.2</t>
  </si>
  <si>
    <t>SGOT / AST</t>
  </si>
  <si>
    <t>U/L</t>
  </si>
  <si>
    <t>≤ 40</t>
  </si>
  <si>
    <t>SGPT / ALT</t>
  </si>
  <si>
    <t>≤ 56</t>
  </si>
  <si>
    <t>Lipid Profile (LDL)</t>
  </si>
  <si>
    <t>≤ 100</t>
  </si>
  <si>
    <t xml:space="preserve">  IMMUNOSUPPRESSION MONITORING</t>
  </si>
  <si>
    <t>Vitamin D (25-OH)</t>
  </si>
  <si>
    <t>30 – 100</t>
  </si>
  <si>
    <t>BKV PCR</t>
  </si>
  <si>
    <t>copies/mL</t>
  </si>
  <si>
    <t>Negative</t>
  </si>
  <si>
    <t>&lt; 10,000</t>
  </si>
  <si>
    <t>Monthly × 9m then 3m</t>
  </si>
  <si>
    <t>CMV PCR</t>
  </si>
  <si>
    <t>Undetectable</t>
  </si>
  <si>
    <t>Monthly × 6m</t>
  </si>
  <si>
    <t xml:space="preserve">  URINE TESTS</t>
  </si>
  <si>
    <t>Urine RE (Protein)</t>
  </si>
  <si>
    <t>–</t>
  </si>
  <si>
    <t>Nil / Trace</t>
  </si>
  <si>
    <t>Urine RE (RBC/WBC)</t>
  </si>
  <si>
    <t>cells/hpf</t>
  </si>
  <si>
    <t>≤ 5</t>
  </si>
  <si>
    <t>Urine C/S</t>
  </si>
  <si>
    <t>No Growth</t>
  </si>
  <si>
    <t>If symptomatic</t>
  </si>
  <si>
    <t>Urine PCR (UACR)</t>
  </si>
  <si>
    <t>mg/g</t>
  </si>
  <si>
    <t>&lt; 150</t>
  </si>
  <si>
    <t>&lt; 300</t>
  </si>
  <si>
    <t>24h Urine Protein</t>
  </si>
  <si>
    <t>mg/24h</t>
  </si>
  <si>
    <t>If indicated</t>
  </si>
  <si>
    <t>DOCTOR'S NOTES ON LATEST RESULTS</t>
  </si>
  <si>
    <t>MEDICATION HISTORY — UNIFIED LOG (Current Medications + All Changes)</t>
  </si>
  <si>
    <t>Add a new row for every medication added, changed, or stopped. Status: ACTIVE | CHANGED | STOPPED</t>
  </si>
  <si>
    <t>Last Prescription Date:</t>
  </si>
  <si>
    <t>Prescribing Doctor:</t>
  </si>
  <si>
    <t>Brand Name</t>
  </si>
  <si>
    <t>Composition / Generic</t>
  </si>
  <si>
    <t>Category</t>
  </si>
  <si>
    <t>Dose</t>
  </si>
  <si>
    <t>Timing &amp; Frequency</t>
  </si>
  <si>
    <t>Route</t>
  </si>
  <si>
    <t>Start Date</t>
  </si>
  <si>
    <t>Status</t>
  </si>
  <si>
    <t>Stop Date</t>
  </si>
  <si>
    <t>Clinical Notes / Remarks</t>
  </si>
  <si>
    <t>CLINICAL TRENDS DASHBOARD — AUTO-GENERATED FROM DAILY VITALS &amp; LAB RESULTS</t>
  </si>
  <si>
    <t>Charts auto-update when data is entered in Daily Vitals Log and Lab Results sheets. Review trends at each visit.</t>
  </si>
  <si>
    <t>⚠  AUTOMATIC CLINICAL ALERTS  ⚠</t>
  </si>
  <si>
    <t>Latest BP:</t>
  </si>
  <si>
    <t>Latest SpO₂:</t>
  </si>
  <si>
    <t>Latest Blood Sugar:</t>
  </si>
  <si>
    <t>Weight 7d change:</t>
  </si>
  <si>
    <t>Latest Creatinine:</t>
  </si>
  <si>
    <t>Latest Tacrolimus:</t>
  </si>
  <si>
    <t>Labs out of range:</t>
  </si>
  <si>
    <t>📈 KIDNEY GRAFT &amp; DRUG-LEVEL TRENDS — Creatinine · eGFR · Tacrolimus trough (auto-plotted from 🧪 Lab Results)</t>
  </si>
  <si>
    <t>🧪 LAB SNAPSHOT — latest result vs previous, checked against your set limits</t>
  </si>
  <si>
    <t>Parameter</t>
  </si>
  <si>
    <t>Latest</t>
  </si>
  <si>
    <t>Previous</t>
  </si>
  <si>
    <t>Change</t>
  </si>
  <si>
    <t>Trend</t>
  </si>
  <si>
    <t>Normal range</t>
  </si>
  <si>
    <t>Post-Tx target</t>
  </si>
  <si>
    <t>Readings</t>
  </si>
  <si>
    <t>Qualitative / PCR tests</t>
  </si>
  <si>
    <t>Latest result</t>
  </si>
  <si>
    <t>Previous result</t>
  </si>
  <si>
    <t>How to read: Status compares the latest value with the Low / High limits in ⚙ Dashboard Settings (editable). Trend compares the latest with the previous reading. The Date column shows when each value was last tested - older values may be out of date. Enter lab dates oldest to newest, left to right, in Lab Results (out-of-order dates are blocked). This is a decision-support summary only; the treating doctor interprets the results.</t>
  </si>
  <si>
    <t>🏠 DAILY HOME VITALS — Weight · Urine Output · Blood Pressure · SpO₂ (auto-plotted from 📅 Daily Vitals Log, 95-day book)</t>
  </si>
  <si>
    <t>🩸 FASTING BLOOD SUGAR — 30-day summary and trend (from 📅 Daily Vitals Log)</t>
  </si>
  <si>
    <t>Latest fasting (mg/dL)</t>
  </si>
  <si>
    <t>7-day average (mg/dL)</t>
  </si>
  <si>
    <t>30-day average (mg/dL)</t>
  </si>
  <si>
    <t>Readings logged (30 d)</t>
  </si>
  <si>
    <t>Latest HbA1c (lab)</t>
  </si>
  <si>
    <t>END OF DASHBOARD</t>
  </si>
  <si>
    <t>CLINICAL SUMMARY FOR TREATING NEPHROLOGIST — KIDNEY TRANSPLANT FOLLOW-UP</t>
  </si>
  <si>
    <t>Auto-populated from all sheets  |  Print &amp; send to doctor before visit  |  Do not edit — data pulls automatically</t>
  </si>
  <si>
    <t xml:space="preserve">  PATIENT IDENTIFICATION</t>
  </si>
  <si>
    <t>Patient Name</t>
  </si>
  <si>
    <t>Patient ID</t>
  </si>
  <si>
    <t>Date of Birth</t>
  </si>
  <si>
    <t>Gender</t>
  </si>
  <si>
    <t>Blood Group</t>
  </si>
  <si>
    <t>Transplant Date</t>
  </si>
  <si>
    <t>Diagnosis</t>
  </si>
  <si>
    <t>Comorbidities</t>
  </si>
  <si>
    <t xml:space="preserve">  VITALS SUMMARY — LAST 7 DAYS</t>
  </si>
  <si>
    <t>Min</t>
  </si>
  <si>
    <t>Max</t>
  </si>
  <si>
    <t>Average</t>
  </si>
  <si>
    <t>Clinical Note</t>
  </si>
  <si>
    <t>BP Systolic (mmHg)</t>
  </si>
  <si>
    <t>mmHg</t>
  </si>
  <si>
    <t>Target: &lt;130/80</t>
  </si>
  <si>
    <t>BP Diastolic (mmHg)</t>
  </si>
  <si>
    <t>Target: &lt;80</t>
  </si>
  <si>
    <t>Pulse (bpm)</t>
  </si>
  <si>
    <t>bpm</t>
  </si>
  <si>
    <t>Normal: 60–100</t>
  </si>
  <si>
    <t>SpO₂ (%)</t>
  </si>
  <si>
    <t>Alert if &lt;94%</t>
  </si>
  <si>
    <t>Weight (kg)</t>
  </si>
  <si>
    <t>kg</t>
  </si>
  <si>
    <t>Gain &gt;2 kg/week = alert</t>
  </si>
  <si>
    <t>Fluid Intake (mL/day)</t>
  </si>
  <si>
    <t>mL</t>
  </si>
  <si>
    <t>Target: ≥4000 mL/day</t>
  </si>
  <si>
    <t>Urine Output (mL/day)</t>
  </si>
  <si>
    <t>Target: ≥1000 mL/day</t>
  </si>
  <si>
    <t>Blood Sugar (mg/dL)</t>
  </si>
  <si>
    <t xml:space="preserve">  LATEST LAB RESULTS (from Lab Results sheet — most recent of up to 20 test dates)</t>
  </si>
  <si>
    <t>Test</t>
  </si>
  <si>
    <t>Latest Result</t>
  </si>
  <si>
    <t>TX Target</t>
  </si>
  <si>
    <t>Notes</t>
  </si>
  <si>
    <t>Creatinine</t>
  </si>
  <si>
    <t>Rising trend = rejection risk</t>
  </si>
  <si>
    <t>≥45</t>
  </si>
  <si>
    <t>Early:8–12 | Late:5–8</t>
  </si>
  <si>
    <t>Calcium</t>
  </si>
  <si>
    <t>8.5–10.2</t>
  </si>
  <si>
    <t>2.5–4.5</t>
  </si>
  <si>
    <t>&lt;7.0</t>
  </si>
  <si>
    <t>3.5–5.0</t>
  </si>
  <si>
    <t>FBS</t>
  </si>
  <si>
    <t>70–126</t>
  </si>
  <si>
    <t>&gt;180 = PTDM</t>
  </si>
  <si>
    <t>PPBS</t>
  </si>
  <si>
    <t>≤180</t>
  </si>
  <si>
    <t>≤7.0</t>
  </si>
  <si>
    <t>11–14</t>
  </si>
  <si>
    <t>4–10</t>
  </si>
  <si>
    <t>150–350</t>
  </si>
  <si>
    <t>&lt;10,000</t>
  </si>
  <si>
    <t>Urine RE Protein</t>
  </si>
  <si>
    <t>Nil/Trace</t>
  </si>
  <si>
    <t>&lt;300</t>
  </si>
  <si>
    <t>No. · Brand Name</t>
  </si>
  <si>
    <t>Composition</t>
  </si>
  <si>
    <t>Timing</t>
  </si>
  <si>
    <t>NOTES  /  ILLNESS MANAGEMENT PLAN  /  LAB TESTS REQUIRED FOR NEXT FOLLOW-UP   (to be filled in during consultation)</t>
  </si>
  <si>
    <t>NOTES
(History · Examination · Diagnosis)</t>
  </si>
  <si>
    <t>ILLNESS MANAGEMENT PLAN
(Revised medication directions · Diet · Exercise · Advice)</t>
  </si>
  <si>
    <t>LAB TESTS REQUIRED
(to be done before the next Follow-up)</t>
  </si>
  <si>
    <t>WEEKLY SUMMARY — AUTO-CALCULATED FROM DAILY VITALS LOG</t>
  </si>
  <si>
    <t>Auto-generated from 📅 Daily Vitals Log.  Weeks are generated automatically from the first date in the log (Monday-based) and stop at the last logged date.</t>
  </si>
  <si>
    <t>HOW TO USE:  Nothing to type in column B — week-start (Monday) dates fill in by themselves from the Daily Vitals Log. Averages and alert counts for each 7-day period are calculated automatically. The first week may be partial if the log starts mid-week. Do not edit columns B–N.</t>
  </si>
  <si>
    <t>Week Start
(Mon Date)</t>
  </si>
  <si>
    <t>Week End
(+6 days)</t>
  </si>
  <si>
    <t>Avg Systolic
(mmHg)</t>
  </si>
  <si>
    <t>Avg Diastolic
(mmHg)</t>
  </si>
  <si>
    <t>Avg Pulse
(bpm)</t>
  </si>
  <si>
    <t>Avg SpO₂
(%)</t>
  </si>
  <si>
    <t>Avg Weight
(kg)</t>
  </si>
  <si>
    <t>Avg Fluid In
(mL/day)</t>
  </si>
  <si>
    <t>Avg Urine Out
(mL/day)</t>
  </si>
  <si>
    <t>Avg Blood Sugar
(mg/dL)</t>
  </si>
  <si>
    <t>Net Balance
(mL/week)</t>
  </si>
  <si>
    <t>SpO₂ Alert
Days</t>
  </si>
  <si>
    <t>BP Alert
Days</t>
  </si>
  <si>
    <t>DOCTOR'S INTERPRETATION GUIDE</t>
  </si>
  <si>
    <t>• Net Fluid Balance: Positive &gt;500 mL/week → check for oedema, graft dysfunction.</t>
  </si>
  <si>
    <t>• SpO₂ Alerts: Any red day (&lt;94%) requires prompt review — pulmonary oedema or infection.</t>
  </si>
  <si>
    <t>• BP Alerts: Persistent out-of-range days → review antihypertensive therapy.</t>
  </si>
  <si>
    <t>• Weight trend: Sudden gain &gt;1 kg in 2 days or &gt;2 kg/week → possible fluid overload.</t>
  </si>
  <si>
    <t>• Avg Sugar: Consistently above your sugar alert limit (⚙ Dashboard Settings; default 180 mg/dL) → review for Post-Transplant Diabetes Mellitus (PTDM).</t>
  </si>
  <si>
    <t>DOCTOR CONSULTATION / FOLLOW-UP VISIT LOG — POST-TRANSPLANT NEPHROLOGY</t>
  </si>
  <si>
    <t>HOW TO USE:  ① Pick the consultation date in B5.  ② Copy the pink cells C4:P4.  ③ Type the same date in column B of the next blank row, then PASTE SPECIAL ▸ VALUES (Ctrl+Alt+V, then V) into C of that row.  ④ Fill the white columns Q–T.  (A cell turns ORANGE if a formula was pasted by mistake — re-paste as Values.)</t>
  </si>
  <si>
    <t>⚠ ONE-TIME SETUP — enter the patient's HEIGHT (cm) in the yellow box first, before recording any visit. Enter it ONCE and do NOT change it later: every BMI in this log is calculated from it.</t>
  </si>
  <si>
    <t>HEIGHT
(cm) ►</t>
  </si>
  <si>
    <t>Date of
Consultation</t>
  </si>
  <si>
    <t>FBS
(mg/dL)</t>
  </si>
  <si>
    <t>BP-Sys
(mmHg)</t>
  </si>
  <si>
    <t>BP-Dias
(mmHg)</t>
  </si>
  <si>
    <t>Calculated
BMI</t>
  </si>
  <si>
    <t>Creatinine
(mg/dL)</t>
  </si>
  <si>
    <t>eGFR
(mL/min)</t>
  </si>
  <si>
    <t>Hb
(g/dL)</t>
  </si>
  <si>
    <t>TLC
(×10³/μL)</t>
  </si>
  <si>
    <t>Platelets
(×10³/μL)</t>
  </si>
  <si>
    <t>Urine PCR
(mg/g)</t>
  </si>
  <si>
    <t>Tac Level
(ng/mL)</t>
  </si>
  <si>
    <t>BKV PCR
(copies/mL)</t>
  </si>
  <si>
    <t>Tac Dose
(mg/day)</t>
  </si>
  <si>
    <t>Other
Immuno
Suppressants</t>
  </si>
  <si>
    <t>Doctor's
Notes /
Action Plan</t>
  </si>
  <si>
    <t>Next
Consultation
Date</t>
  </si>
  <si>
    <t>Consltn
Date ↓</t>
  </si>
  <si>
    <t>Data from :  Daily Vitals Log</t>
  </si>
  <si>
    <t>Formulae
Based</t>
  </si>
  <si>
    <t>Manual Input</t>
  </si>
  <si>
    <t>LABORATORY REFERENCE RANGES — KIDNEY TRANSPLANT PATIENTS</t>
  </si>
  <si>
    <t>Use these ranges to interpret follow-up lab values. Values outside TX Target require medical review.</t>
  </si>
  <si>
    <t>Normal Range</t>
  </si>
  <si>
    <t>Target (Post-Transplant)</t>
  </si>
  <si>
    <t>Notes / Clinical Significance</t>
  </si>
  <si>
    <t>Stable baseline (patient-specific)</t>
  </si>
  <si>
    <t>Rising trend may indicate rejection</t>
  </si>
  <si>
    <t>&gt; 60</t>
  </si>
  <si>
    <t>&gt; 45 (acceptable &gt; 30)</t>
  </si>
  <si>
    <t>CKD staging based on eGFR</t>
  </si>
  <si>
    <t>&lt; 300 (stable graft)</t>
  </si>
  <si>
    <t>Proteinuria indicates graft stress</t>
  </si>
  <si>
    <t>Elevated in nephrotic syndrome</t>
  </si>
  <si>
    <t xml:space="preserve">  IMMUNOSUPPRESSION</t>
  </si>
  <si>
    <t>Early (0–3m): 8–12 | Late (&gt;6m): 5–8</t>
  </si>
  <si>
    <t>Adjust dose per trough level; toxicity &gt;15</t>
  </si>
  <si>
    <t>&lt; 10,000 (low viremia)</t>
  </si>
  <si>
    <t>High viremia → BK nephropathy risk</t>
  </si>
  <si>
    <t>Monitor monthly × 6 months post-Tx</t>
  </si>
  <si>
    <t>Hyperkalaemia with tacrolimus/CNIs</t>
  </si>
  <si>
    <t>Hypercalcaemia → graft calcification risk</t>
  </si>
  <si>
    <t>Hypophosphataemia post-Tx</t>
  </si>
  <si>
    <t>Metabolic acidosis post-transplant</t>
  </si>
  <si>
    <t>Gout risk with cyclosporine</t>
  </si>
  <si>
    <t>&lt; 126 (target: avoid PTDM)</t>
  </si>
  <si>
    <t>PTDM risk with tacrolimus</t>
  </si>
  <si>
    <t>&lt; 140</t>
  </si>
  <si>
    <t>&lt; 180</t>
  </si>
  <si>
    <t>Post-Transplant Diabetes Mellitus</t>
  </si>
  <si>
    <t>3-monthly monitoring</t>
  </si>
  <si>
    <t xml:space="preserve">  HAEMATOLOGY</t>
  </si>
  <si>
    <t>Haemoglobin (Hb)</t>
  </si>
  <si>
    <t>Anaemia common post-transplant</t>
  </si>
  <si>
    <t>4.0 – 11.0</t>
  </si>
  <si>
    <t>4.0 – 10.0</t>
  </si>
  <si>
    <t>Leukopenia may indicate drug toxicity</t>
  </si>
  <si>
    <t>Monitor for thrombocytopenia</t>
  </si>
  <si>
    <t>Low albumin = malnutrition / nephrotic</t>
  </si>
  <si>
    <t xml:space="preserve">  VITALS TARGETS</t>
  </si>
  <si>
    <t>Blood Pressure</t>
  </si>
  <si>
    <t>&lt; 120/80</t>
  </si>
  <si>
    <t>&lt; 130/80</t>
  </si>
  <si>
    <t>Strict BP control protects graft</t>
  </si>
  <si>
    <t>SpO₂</t>
  </si>
  <si>
    <t>≥ 95</t>
  </si>
  <si>
    <t>≥ 94</t>
  </si>
  <si>
    <t>Alert if &lt; 94%</t>
  </si>
  <si>
    <t>Temperature</t>
  </si>
  <si>
    <t>°F</t>
  </si>
  <si>
    <t>97 – 99</t>
  </si>
  <si>
    <t>&lt; 100</t>
  </si>
  <si>
    <t>Fever (&gt;100.4°F) = urgent review</t>
  </si>
  <si>
    <t>BMI</t>
  </si>
  <si>
    <t>kg/m²</t>
  </si>
  <si>
    <t>18.5 – 24.9</t>
  </si>
  <si>
    <t>18.5 – 27</t>
  </si>
  <si>
    <t>Obesity increases graft failure risk</t>
  </si>
  <si>
    <t>Urine Output</t>
  </si>
  <si>
    <t>mL/day</t>
  </si>
  <si>
    <t>≥ 1000</t>
  </si>
  <si>
    <t>≥ 1500 (preferred)</t>
  </si>
  <si>
    <t>Oliguria = urgent review</t>
  </si>
  <si>
    <t xml:space="preserve">  OTHER MONITORING</t>
  </si>
  <si>
    <t>Supplement if deficient</t>
  </si>
  <si>
    <t>LDL Cholesterol</t>
  </si>
  <si>
    <t>Cardiovascular risk management</t>
  </si>
  <si>
    <t>Liver function — 3-monthly</t>
  </si>
  <si>
    <t>⚙ DASHBOARD SETTINGS &amp; CHART FEED</t>
  </si>
  <si>
    <t>Yellow cells are yours to edit (leave a limit blank for "no limit"). They drive the Status column of the Dashboard Lab Snapshot, the reference lines on the lab charts and the blood-sugar summary. Grey cells are formulas that feed the Dashboard and charts - please do not overwrite them.</t>
  </si>
  <si>
    <t>A. LAB ALERT LIMITS (editable)</t>
  </si>
  <si>
    <t>B. BLOOD SUGAR &amp; TREND SETTINGS (editable)</t>
  </si>
  <si>
    <t>Helper formulas (do not edit)</t>
  </si>
  <si>
    <t>D. BLOOD-SUGAR CHART FEED</t>
  </si>
  <si>
    <t>E. ACTIVE-MEDICATION FEED (formulas - do not edit)</t>
  </si>
  <si>
    <t>Parameter (from Lab Results)</t>
  </si>
  <si>
    <t>Low limit</t>
  </si>
  <si>
    <t>High limit</t>
  </si>
  <si>
    <t>Basis / note</t>
  </si>
  <si>
    <t>Fasting sugar target - low (mg/dL)</t>
  </si>
  <si>
    <t>Outside-limit flag</t>
  </si>
  <si>
    <t>Latest column #</t>
  </si>
  <si>
    <t>Previous column #</t>
  </si>
  <si>
    <t>Running list</t>
  </si>
  <si>
    <t>Active count (running)</t>
  </si>
  <si>
    <t>Slot #</t>
  </si>
  <si>
    <t>Med row index</t>
  </si>
  <si>
    <t>Tip: column T keeps a running count of ACTIVE rows in Medication History (rows 5-204). Column V finds the row of the 1st, 2nd, 3rd ... active medication so the Doctor Referral Report can list them one below the other.</t>
  </si>
  <si>
    <t>Lab normal range. Graft baseline is patient-specific - set your own band with your doctor.</t>
  </si>
  <si>
    <t>Fasting sugar target - high (mg/dL)</t>
  </si>
  <si>
    <t>Post-transplant target &gt;= 45 (general normal &gt;= 60). Lower limit only.</t>
  </si>
  <si>
    <t>Fasting sugar alert - above (mg/dL)</t>
  </si>
  <si>
    <t>Same band as the Dashboard alert tile. Ideal trough depends on months since transplant (early 8-12, late 5-8).</t>
  </si>
  <si>
    <t>Trend is 'Stable' if change is under (%)</t>
  </si>
  <si>
    <t>Post-transplant target.</t>
  </si>
  <si>
    <t>BP alert - systolic above (mmHg)</t>
  </si>
  <si>
    <t>Normal / target range.</t>
  </si>
  <si>
    <t>BP alert - systolic below (mmHg)</t>
  </si>
  <si>
    <t>Target &lt; 7.0. Upper limit only.</t>
  </si>
  <si>
    <t>BP alert - diastolic above (mmHg)</t>
  </si>
  <si>
    <t>Creatinine - borderline above (mg/dL)</t>
  </si>
  <si>
    <t>Creatinine - urgent above (mg/dL)</t>
  </si>
  <si>
    <t>Post-transplant target (avoid PTDM).</t>
  </si>
  <si>
    <t>These limits drive the Dashboard alert tiles, the Daily Vitals Log BP / sugar colouring and the Weekly Summary BP-alert count. Tacrolimus limits are the Low / High cells of the Tacrolimus row in table A. The SpO2 alert (below 94%) and weight-gain alert (2 kg/week) are built into the formulas.</t>
  </si>
  <si>
    <t>Post-transplant target &lt;= 180. Upper limit only.</t>
  </si>
  <si>
    <t>Target &lt;= 7.0. Upper limit only.</t>
  </si>
  <si>
    <t>Post-transplant target (general normal 12-17).</t>
  </si>
  <si>
    <t>Upper limit only.</t>
  </si>
  <si>
    <t>Tip: to track a new lab, add it as a row in Lab Results, then add a row to the Lab Snapshot (copy an existing row) and to table A.</t>
  </si>
  <si>
    <t>Upper limit only (workbook range).</t>
  </si>
  <si>
    <t>Post-transplant target &lt; 300 (general normal &lt; 150).</t>
  </si>
  <si>
    <t>Text result - interpreted by the doctor.</t>
  </si>
  <si>
    <t>C. LAB-CHART REFERENCE LINES (formula feed - do not edit)</t>
  </si>
  <si>
    <t>Reference line</t>
  </si>
  <si>
    <t>Start date</t>
  </si>
  <si>
    <t>End date</t>
  </si>
  <si>
    <t>Value at start</t>
  </si>
  <si>
    <t>Value at end</t>
  </si>
  <si>
    <t>DD</t>
  </si>
  <si>
    <t>MMM</t>
  </si>
  <si>
    <t>YYYY</t>
  </si>
  <si>
    <t>Schedule guide ►</t>
  </si>
  <si>
    <t>( Date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</si>
</sst>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0.0"/>
    <numFmt numFmtId="166" formatCode="d\-mmm\-yy"/>
    <numFmt numFmtId="167" formatCode="\+0.0#;\-0.0#;0"/>
  </numFmts>
  <fonts count="74" x14ac:knownFonts="1">
    <font>
      <sz val="11"/>
      <color theme="1"/>
      <name val="Calibri"/>
      <family val="2"/>
      <charset val="1"/>
    </font>
    <font>
      <b/>
      <sz val="10"/>
      <color rgb="FFFFFFFF"/>
      <name val="Calibri"/>
      <family val="2"/>
    </font>
    <font>
      <b/>
      <sz val="20"/>
      <color rgb="FFFFFFFF"/>
      <name val="Calibri"/>
      <family val="2"/>
    </font>
    <font>
      <sz val="10"/>
      <color rgb="FF1B3A6B"/>
      <name val="Calibri"/>
      <family val="2"/>
    </font>
    <font>
      <b/>
      <sz val="10"/>
      <color rgb="FF1B3A6B"/>
      <name val="Calibri"/>
      <family val="2"/>
    </font>
    <font>
      <b/>
      <sz val="16"/>
      <color rgb="FFFFFFFF"/>
      <name val="Calibri"/>
      <family val="2"/>
    </font>
    <font>
      <i/>
      <sz val="9"/>
      <color rgb="FF1B3A6B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i/>
      <sz val="8"/>
      <color rgb="FF1B3A6B"/>
      <name val="Calibri"/>
      <family val="2"/>
    </font>
    <font>
      <b/>
      <sz val="9"/>
      <color rgb="FF1B3A6B"/>
      <name val="Calibri"/>
      <family val="2"/>
    </font>
    <font>
      <b/>
      <sz val="9"/>
      <name val="Calibri"/>
      <family val="2"/>
    </font>
    <font>
      <b/>
      <sz val="14"/>
      <color rgb="FFFFFFFF"/>
      <name val="Calibri"/>
      <family val="2"/>
    </font>
    <font>
      <sz val="9"/>
      <color rgb="FF1B3A6B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9"/>
      <name val="Calibri"/>
      <family val="2"/>
      <charset val="1"/>
    </font>
    <font>
      <b/>
      <sz val="9"/>
      <color rgb="FFFF0000"/>
      <name val="Calibri"/>
      <family val="2"/>
      <charset val="1"/>
    </font>
    <font>
      <b/>
      <sz val="9"/>
      <color rgb="FF375623"/>
      <name val="Arial"/>
    </font>
    <font>
      <sz val="9"/>
      <color theme="1"/>
      <name val="Calibri"/>
      <family val="2"/>
      <charset val="1"/>
    </font>
    <font>
      <sz val="11"/>
      <color theme="1"/>
      <name val="Calibri"/>
      <family val="2"/>
    </font>
    <font>
      <b/>
      <sz val="14"/>
      <color rgb="FF1B3A6B"/>
      <name val="Calibri"/>
      <family val="2"/>
    </font>
    <font>
      <b/>
      <sz val="22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262626"/>
      <name val="Calibri"/>
      <family val="2"/>
    </font>
    <font>
      <b/>
      <sz val="13"/>
      <color rgb="FFFFFFFF"/>
      <name val="Calibri"/>
      <family val="2"/>
    </font>
    <font>
      <b/>
      <sz val="12"/>
      <color rgb="FF262626"/>
      <name val="Calibri"/>
      <family val="2"/>
    </font>
    <font>
      <b/>
      <sz val="11"/>
      <color rgb="FF1B3A6B"/>
      <name val="Calibri"/>
      <family val="2"/>
    </font>
    <font>
      <b/>
      <sz val="11"/>
      <color rgb="FF1E5C2E"/>
      <name val="Calibri"/>
      <family val="2"/>
    </font>
    <font>
      <b/>
      <sz val="11"/>
      <color rgb="FF922B21"/>
      <name val="Calibri"/>
      <family val="2"/>
    </font>
    <font>
      <b/>
      <sz val="18"/>
      <color rgb="FFFFFFFF"/>
      <name val="Calibri"/>
      <family val="2"/>
    </font>
    <font>
      <b/>
      <i/>
      <sz val="12"/>
      <color rgb="FFFFFF00"/>
      <name val="Calibri"/>
      <family val="2"/>
    </font>
    <font>
      <b/>
      <sz val="10"/>
      <color rgb="FF1B3A6B"/>
      <name val="Calibri"/>
      <family val="2"/>
    </font>
    <font>
      <b/>
      <sz val="16"/>
      <color rgb="FFFFFFFF"/>
      <name val="Calibri"/>
      <family val="2"/>
    </font>
    <font>
      <sz val="9"/>
      <color rgb="FF1B3A6B"/>
      <name val="Calibri"/>
      <family val="2"/>
    </font>
    <font>
      <b/>
      <sz val="9"/>
      <color rgb="FF9C0006"/>
      <name val="Calibri"/>
      <family val="2"/>
    </font>
    <font>
      <b/>
      <sz val="10"/>
      <color rgb="FF1B3A6B"/>
      <name val="Calibri"/>
      <family val="2"/>
    </font>
    <font>
      <b/>
      <sz val="14"/>
      <color rgb="FF000000"/>
      <name val="Calibri"/>
      <family val="2"/>
    </font>
    <font>
      <b/>
      <sz val="10"/>
      <color rgb="FF1B3A6B"/>
      <name val="Calibri"/>
      <family val="2"/>
    </font>
    <font>
      <b/>
      <sz val="10"/>
      <color rgb="FFFFFFFF"/>
      <name val="Calibri"/>
      <family val="2"/>
    </font>
    <font>
      <b/>
      <u/>
      <sz val="11"/>
      <color rgb="FF0070C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u/>
      <sz val="11"/>
      <color rgb="FF0070C0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b/>
      <u/>
      <sz val="12"/>
      <color rgb="FFFFFFFF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9"/>
      <color rgb="FF7F7F7F"/>
      <name val="Calibri"/>
      <family val="2"/>
    </font>
    <font>
      <i/>
      <sz val="9"/>
      <color rgb="FF1B3A6B"/>
      <name val="Calibri"/>
      <family val="2"/>
    </font>
    <font>
      <b/>
      <sz val="11"/>
      <color rgb="FF1B3A6B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i/>
      <sz val="9"/>
      <color rgb="FF1B3A6B"/>
      <name val="Calibri"/>
      <family val="2"/>
    </font>
    <font>
      <i/>
      <sz val="10"/>
      <color rgb="FF1B3A6B"/>
      <name val="Calibri"/>
      <family val="2"/>
    </font>
  </fonts>
  <fills count="63">
    <fill>
      <patternFill patternType="none"/>
    </fill>
    <fill>
      <patternFill patternType="gray125"/>
    </fill>
    <fill>
      <patternFill patternType="solid">
        <fgColor rgb="FF1B3A6B"/>
        <bgColor rgb="FF2C3E6B"/>
      </patternFill>
    </fill>
    <fill>
      <patternFill patternType="solid">
        <fgColor rgb="FF0D7377"/>
        <bgColor rgb="FF008080"/>
      </patternFill>
    </fill>
    <fill>
      <patternFill patternType="solid">
        <fgColor rgb="FFFFFFFF"/>
        <bgColor rgb="FFF2F2F2"/>
      </patternFill>
    </fill>
    <fill>
      <patternFill patternType="solid">
        <fgColor rgb="FFFFF3CD"/>
        <bgColor rgb="FFF2F2F2"/>
      </patternFill>
    </fill>
    <fill>
      <patternFill patternType="solid">
        <fgColor rgb="FF2C3E6B"/>
        <bgColor rgb="FF1B3A6B"/>
      </patternFill>
    </fill>
    <fill>
      <patternFill patternType="solid">
        <fgColor rgb="FFD6E4F0"/>
        <bgColor rgb="FFD4EDDA"/>
      </patternFill>
    </fill>
    <fill>
      <patternFill patternType="solid">
        <fgColor rgb="FFF2F2F2"/>
        <bgColor rgb="FFFFFFFF"/>
      </patternFill>
    </fill>
    <fill>
      <patternFill patternType="solid">
        <fgColor rgb="FFD4EDDA"/>
        <bgColor rgb="FFD6E4F0"/>
      </patternFill>
    </fill>
    <fill>
      <patternFill patternType="solid">
        <fgColor rgb="FFD9D9D9"/>
        <bgColor rgb="FFD6E4F0"/>
      </patternFill>
    </fill>
    <fill>
      <patternFill patternType="solid">
        <fgColor rgb="FFE63946"/>
        <bgColor rgb="FFC55A11"/>
      </patternFill>
    </fill>
    <fill>
      <patternFill patternType="solid">
        <fgColor rgb="FF4472C4"/>
        <bgColor rgb="FF0066CC"/>
      </patternFill>
    </fill>
    <fill>
      <patternFill patternType="solid">
        <fgColor rgb="FFE2EFDA"/>
        <bgColor rgb="FFE2EFDA"/>
      </patternFill>
    </fill>
    <fill>
      <patternFill patternType="solid">
        <fgColor rgb="FF1B3A6B"/>
        <bgColor indexed="64"/>
      </patternFill>
    </fill>
    <fill>
      <patternFill patternType="solid">
        <fgColor rgb="FF1B3A6B"/>
        <bgColor indexed="64"/>
      </patternFill>
    </fill>
    <fill>
      <patternFill patternType="solid">
        <fgColor rgb="FF1B3A6B"/>
        <bgColor indexed="64"/>
      </patternFill>
    </fill>
    <fill>
      <patternFill patternType="solid">
        <fgColor rgb="FF0D7377"/>
        <bgColor indexed="64"/>
      </patternFill>
    </fill>
    <fill>
      <patternFill patternType="solid">
        <fgColor rgb="FF0D7377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B3A6B"/>
        <bgColor indexed="64"/>
      </patternFill>
    </fill>
    <fill>
      <patternFill patternType="solid">
        <fgColor rgb="FF2D9E47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DDA0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B3A6B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B3A6B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4D3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ECFA"/>
        <bgColor indexed="64"/>
      </patternFill>
    </fill>
    <fill>
      <patternFill patternType="solid">
        <fgColor rgb="FFFBD5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rgb="FFF2F2F2"/>
      </patternFill>
    </fill>
  </fills>
  <borders count="3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/>
      <bottom style="medium">
        <color rgb="FFDCDFE5"/>
      </bottom>
      <diagonal/>
    </border>
    <border>
      <left/>
      <right/>
      <top/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1B3A6B"/>
      </right>
      <top style="thin">
        <color rgb="FFBFBFBF"/>
      </top>
      <bottom style="thin">
        <color rgb="FFBFBFBF"/>
      </bottom>
      <diagonal/>
    </border>
    <border>
      <left style="medium">
        <color rgb="FF1B3A6B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4" fillId="7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0" fillId="7" borderId="1" xfId="0" applyFont="1" applyFill="1" applyBorder="1"/>
    <xf numFmtId="15" fontId="11" fillId="5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164" fontId="8" fillId="10" borderId="1" xfId="0" applyNumberFormat="1" applyFont="1" applyFill="1" applyBorder="1" applyAlignment="1">
      <alignment horizontal="center" vertical="center" wrapText="1"/>
    </xf>
    <xf numFmtId="165" fontId="8" fillId="8" borderId="1" xfId="0" applyNumberFormat="1" applyFont="1" applyFill="1" applyBorder="1" applyAlignment="1">
      <alignment horizontal="center" vertical="center" wrapText="1"/>
    </xf>
    <xf numFmtId="2" fontId="8" fillId="8" borderId="1" xfId="0" applyNumberFormat="1" applyFont="1" applyFill="1" applyBorder="1" applyAlignment="1">
      <alignment horizontal="center" vertical="center" wrapText="1"/>
    </xf>
    <xf numFmtId="1" fontId="8" fillId="8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 vertical="center" wrapText="1"/>
    </xf>
    <xf numFmtId="164" fontId="19" fillId="5" borderId="1" xfId="0" applyNumberFormat="1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center" vertical="center" wrapText="1"/>
    </xf>
    <xf numFmtId="166" fontId="21" fillId="5" borderId="1" xfId="0" applyNumberFormat="1" applyFont="1" applyFill="1" applyBorder="1" applyAlignment="1">
      <alignment horizontal="center" vertical="center" wrapText="1"/>
    </xf>
    <xf numFmtId="166" fontId="22" fillId="5" borderId="1" xfId="0" applyNumberFormat="1" applyFont="1" applyFill="1" applyBorder="1" applyAlignment="1">
      <alignment horizontal="center" vertical="center" wrapText="1"/>
    </xf>
    <xf numFmtId="0" fontId="23" fillId="1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0" fillId="4" borderId="1" xfId="0" applyFont="1" applyFill="1" applyBorder="1" applyAlignment="1">
      <alignment horizontal="left" vertical="center" wrapText="1"/>
    </xf>
    <xf numFmtId="164" fontId="20" fillId="4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24" fillId="0" borderId="7" xfId="0" applyFont="1" applyBorder="1" applyAlignment="1">
      <alignment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8" fillId="4" borderId="1" xfId="0" applyNumberFormat="1" applyFont="1" applyFill="1" applyBorder="1" applyAlignment="1">
      <alignment horizontal="left" vertical="center" shrinkToFit="1"/>
    </xf>
    <xf numFmtId="0" fontId="8" fillId="4" borderId="1" xfId="0" applyNumberFormat="1" applyFont="1" applyFill="1" applyBorder="1" applyAlignment="1">
      <alignment horizontal="center" vertical="center" shrinkToFit="1"/>
    </xf>
    <xf numFmtId="0" fontId="14" fillId="4" borderId="1" xfId="0" applyNumberFormat="1" applyFont="1" applyFill="1" applyBorder="1" applyAlignment="1">
      <alignment horizontal="left" vertical="center" shrinkToFit="1"/>
    </xf>
    <xf numFmtId="166" fontId="8" fillId="4" borderId="1" xfId="0" applyNumberFormat="1" applyFont="1" applyFill="1" applyBorder="1" applyAlignment="1">
      <alignment horizontal="center" vertical="center"/>
    </xf>
    <xf numFmtId="167" fontId="8" fillId="4" borderId="1" xfId="0" applyNumberFormat="1" applyFont="1" applyFill="1" applyBorder="1" applyAlignment="1">
      <alignment horizontal="center" vertical="center"/>
    </xf>
    <xf numFmtId="0" fontId="14" fillId="4" borderId="1" xfId="0" applyNumberFormat="1" applyFont="1" applyFill="1" applyBorder="1" applyAlignment="1">
      <alignment horizontal="center" vertical="center" shrinkToFit="1"/>
    </xf>
    <xf numFmtId="0" fontId="14" fillId="5" borderId="1" xfId="0" applyNumberFormat="1" applyFont="1" applyFill="1" applyBorder="1" applyAlignment="1">
      <alignment horizontal="center" vertical="center"/>
    </xf>
    <xf numFmtId="0" fontId="8" fillId="8" borderId="1" xfId="0" applyNumberFormat="1" applyFont="1" applyFill="1" applyBorder="1" applyAlignment="1">
      <alignment horizontal="center" vertical="center"/>
    </xf>
    <xf numFmtId="166" fontId="8" fillId="8" borderId="1" xfId="0" applyNumberFormat="1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left" vertical="center" wrapText="1"/>
    </xf>
    <xf numFmtId="0" fontId="29" fillId="0" borderId="8" xfId="0" applyFont="1" applyFill="1" applyBorder="1" applyAlignment="1">
      <alignment horizontal="left" vertical="center" wrapText="1" indent="1"/>
    </xf>
    <xf numFmtId="0" fontId="31" fillId="23" borderId="9" xfId="0" applyFont="1" applyFill="1" applyBorder="1" applyAlignment="1">
      <alignment horizontal="center" vertical="center"/>
    </xf>
    <xf numFmtId="0" fontId="31" fillId="24" borderId="9" xfId="0" applyFont="1" applyFill="1" applyBorder="1" applyAlignment="1">
      <alignment horizontal="center" vertical="center"/>
    </xf>
    <xf numFmtId="0" fontId="30" fillId="25" borderId="9" xfId="0" applyFont="1" applyFill="1" applyBorder="1" applyAlignment="1">
      <alignment horizontal="center" vertical="center"/>
    </xf>
    <xf numFmtId="0" fontId="30" fillId="26" borderId="8" xfId="0" applyFont="1" applyFill="1" applyBorder="1" applyAlignment="1">
      <alignment horizontal="center" vertical="center"/>
    </xf>
    <xf numFmtId="0" fontId="30" fillId="27" borderId="8" xfId="0" applyFont="1" applyFill="1" applyBorder="1" applyAlignment="1">
      <alignment horizontal="center" vertical="center"/>
    </xf>
    <xf numFmtId="0" fontId="30" fillId="28" borderId="8" xfId="0" applyFont="1" applyFill="1" applyBorder="1" applyAlignment="1">
      <alignment horizontal="center" vertical="center"/>
    </xf>
    <xf numFmtId="0" fontId="30" fillId="29" borderId="8" xfId="0" applyFont="1" applyFill="1" applyBorder="1" applyAlignment="1">
      <alignment horizontal="center" vertical="center"/>
    </xf>
    <xf numFmtId="0" fontId="30" fillId="30" borderId="8" xfId="0" applyFont="1" applyFill="1" applyBorder="1" applyAlignment="1">
      <alignment horizontal="center" vertical="center"/>
    </xf>
    <xf numFmtId="0" fontId="30" fillId="31" borderId="8" xfId="0" applyFont="1" applyFill="1" applyBorder="1" applyAlignment="1">
      <alignment horizontal="center" vertical="center"/>
    </xf>
    <xf numFmtId="0" fontId="30" fillId="32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0" fillId="35" borderId="8" xfId="0" applyFont="1" applyFill="1" applyBorder="1" applyAlignment="1">
      <alignment horizontal="center" vertical="center"/>
    </xf>
    <xf numFmtId="0" fontId="30" fillId="36" borderId="8" xfId="0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left" vertical="center" wrapText="1"/>
    </xf>
    <xf numFmtId="164" fontId="20" fillId="4" borderId="1" xfId="0" applyNumberFormat="1" applyFont="1" applyFill="1" applyBorder="1" applyAlignment="1">
      <alignment horizontal="left" vertical="center" wrapText="1"/>
    </xf>
    <xf numFmtId="164" fontId="20" fillId="4" borderId="1" xfId="0" applyNumberFormat="1" applyFont="1" applyFill="1" applyBorder="1" applyAlignment="1">
      <alignment horizontal="left" vertical="center" wrapText="1"/>
    </xf>
    <xf numFmtId="164" fontId="20" fillId="4" borderId="1" xfId="0" applyNumberFormat="1" applyFont="1" applyFill="1" applyBorder="1" applyAlignment="1">
      <alignment horizontal="left" vertical="center" wrapText="1"/>
    </xf>
    <xf numFmtId="0" fontId="29" fillId="0" borderId="8" xfId="0" applyFont="1" applyFill="1" applyBorder="1" applyAlignment="1">
      <alignment horizontal="left" vertical="center" wrapText="1" indent="1"/>
    </xf>
    <xf numFmtId="0" fontId="0" fillId="0" borderId="0" xfId="0"/>
    <xf numFmtId="0" fontId="29" fillId="15" borderId="0" xfId="0" applyFont="1" applyFill="1" applyBorder="1"/>
    <xf numFmtId="0" fontId="28" fillId="15" borderId="0" xfId="0" applyFont="1" applyFill="1" applyBorder="1" applyAlignment="1">
      <alignment horizontal="centerContinuous" vertical="center"/>
    </xf>
    <xf numFmtId="0" fontId="37" fillId="5" borderId="3" xfId="0" applyFont="1" applyFill="1" applyBorder="1" applyAlignment="1">
      <alignment horizontal="center" vertical="center"/>
    </xf>
    <xf numFmtId="0" fontId="41" fillId="43" borderId="12" xfId="0" applyNumberFormat="1" applyFont="1" applyFill="1" applyBorder="1" applyAlignment="1">
      <alignment horizontal="center" vertical="center" wrapText="1"/>
    </xf>
    <xf numFmtId="0" fontId="42" fillId="44" borderId="13" xfId="0" applyNumberFormat="1" applyFont="1" applyFill="1" applyBorder="1" applyAlignment="1">
      <alignment horizontal="center" vertical="center"/>
    </xf>
    <xf numFmtId="0" fontId="44" fillId="46" borderId="15" xfId="0" applyNumberFormat="1" applyFont="1" applyFill="1" applyBorder="1" applyAlignment="1">
      <alignment horizontal="center" vertical="center" wrapText="1"/>
    </xf>
    <xf numFmtId="0" fontId="45" fillId="47" borderId="16" xfId="0" applyNumberFormat="1" applyFont="1" applyFill="1" applyBorder="1" applyAlignment="1">
      <alignment horizontal="center" vertical="center" wrapText="1"/>
    </xf>
    <xf numFmtId="0" fontId="46" fillId="48" borderId="17" xfId="0" applyNumberFormat="1" applyFont="1" applyFill="1" applyBorder="1" applyAlignment="1">
      <alignment horizontal="center" vertical="center" wrapText="1"/>
    </xf>
    <xf numFmtId="0" fontId="47" fillId="49" borderId="18" xfId="0" applyNumberFormat="1" applyFont="1" applyFill="1" applyBorder="1" applyAlignment="1">
      <alignment vertical="center"/>
    </xf>
    <xf numFmtId="164" fontId="48" fillId="50" borderId="19" xfId="0" applyNumberFormat="1" applyFont="1" applyFill="1" applyBorder="1" applyAlignment="1">
      <alignment horizontal="center" vertical="center"/>
    </xf>
    <xf numFmtId="0" fontId="50" fillId="52" borderId="21" xfId="0" applyNumberFormat="1" applyFont="1" applyFill="1" applyBorder="1" applyAlignment="1">
      <alignment horizontal="center" vertical="center" wrapText="1"/>
    </xf>
    <xf numFmtId="164" fontId="53" fillId="55" borderId="24" xfId="0" applyNumberFormat="1" applyFont="1" applyFill="1" applyBorder="1" applyAlignment="1">
      <alignment horizontal="center" vertical="center"/>
    </xf>
    <xf numFmtId="0" fontId="54" fillId="56" borderId="25" xfId="0" applyNumberFormat="1" applyFont="1" applyFill="1" applyBorder="1" applyAlignment="1">
      <alignment horizontal="center" vertical="center"/>
    </xf>
    <xf numFmtId="0" fontId="55" fillId="57" borderId="26" xfId="0" applyNumberFormat="1" applyFont="1" applyFill="1" applyBorder="1" applyAlignment="1">
      <alignment horizontal="center" vertical="center"/>
    </xf>
    <xf numFmtId="0" fontId="56" fillId="58" borderId="27" xfId="0" applyNumberFormat="1" applyFont="1" applyFill="1" applyBorder="1" applyAlignment="1">
      <alignment horizontal="center" vertical="center"/>
    </xf>
    <xf numFmtId="0" fontId="57" fillId="59" borderId="28" xfId="0" applyNumberFormat="1" applyFont="1" applyFill="1" applyBorder="1" applyAlignment="1">
      <alignment horizontal="center" vertical="center" wrapText="1"/>
    </xf>
    <xf numFmtId="0" fontId="58" fillId="60" borderId="29" xfId="0" applyNumberFormat="1" applyFont="1" applyFill="1" applyBorder="1" applyAlignment="1">
      <alignment horizontal="left" vertical="center" wrapText="1" indent="1"/>
    </xf>
    <xf numFmtId="164" fontId="59" fillId="61" borderId="30" xfId="0" applyNumberFormat="1" applyFont="1" applyFill="1" applyBorder="1" applyAlignment="1">
      <alignment horizontal="center" vertical="center"/>
    </xf>
    <xf numFmtId="164" fontId="60" fillId="0" borderId="0" xfId="0" applyNumberFormat="1" applyFont="1" applyFill="1" applyBorder="1" applyAlignment="1">
      <alignment horizontal="center" vertical="center"/>
    </xf>
    <xf numFmtId="0" fontId="54" fillId="56" borderId="25" xfId="0" applyFont="1" applyFill="1" applyBorder="1" applyAlignment="1">
      <alignment horizontal="center" vertical="center"/>
    </xf>
    <xf numFmtId="0" fontId="55" fillId="57" borderId="26" xfId="0" applyFont="1" applyFill="1" applyBorder="1" applyAlignment="1">
      <alignment horizontal="center" vertical="center"/>
    </xf>
    <xf numFmtId="0" fontId="61" fillId="49" borderId="18" xfId="0" applyFont="1" applyFill="1" applyBorder="1" applyAlignment="1">
      <alignment horizontal="center" vertical="center" wrapText="1"/>
    </xf>
    <xf numFmtId="164" fontId="62" fillId="49" borderId="18" xfId="0" applyNumberFormat="1" applyFont="1" applyFill="1" applyBorder="1" applyAlignment="1">
      <alignment horizontal="center" vertical="center"/>
    </xf>
    <xf numFmtId="0" fontId="63" fillId="2" borderId="1" xfId="0" applyFont="1" applyFill="1" applyBorder="1" applyAlignment="1">
      <alignment horizontal="center" vertical="center" wrapText="1"/>
    </xf>
    <xf numFmtId="0" fontId="65" fillId="5" borderId="1" xfId="0" applyFont="1" applyFill="1" applyBorder="1" applyAlignment="1">
      <alignment horizontal="center" vertical="center" wrapText="1"/>
    </xf>
    <xf numFmtId="0" fontId="66" fillId="4" borderId="1" xfId="0" applyFont="1" applyFill="1" applyBorder="1" applyAlignment="1">
      <alignment horizontal="center" vertical="center" wrapText="1"/>
    </xf>
    <xf numFmtId="0" fontId="69" fillId="5" borderId="1" xfId="0" applyFont="1" applyFill="1" applyBorder="1" applyAlignment="1">
      <alignment horizontal="center" vertical="center" wrapText="1"/>
    </xf>
    <xf numFmtId="0" fontId="70" fillId="4" borderId="1" xfId="0" applyFont="1" applyFill="1" applyBorder="1" applyAlignment="1">
      <alignment horizontal="center" vertical="center" wrapText="1"/>
    </xf>
    <xf numFmtId="0" fontId="63" fillId="2" borderId="34" xfId="0" applyFont="1" applyFill="1" applyBorder="1" applyAlignment="1">
      <alignment horizontal="center" vertical="center" wrapText="1"/>
    </xf>
    <xf numFmtId="0" fontId="63" fillId="2" borderId="35" xfId="0" applyFont="1" applyFill="1" applyBorder="1" applyAlignment="1">
      <alignment horizontal="center" vertical="center" wrapText="1"/>
    </xf>
    <xf numFmtId="164" fontId="68" fillId="5" borderId="34" xfId="0" applyNumberFormat="1" applyFont="1" applyFill="1" applyBorder="1" applyAlignment="1">
      <alignment horizontal="center" vertical="center" wrapText="1"/>
    </xf>
    <xf numFmtId="0" fontId="69" fillId="5" borderId="35" xfId="0" applyFont="1" applyFill="1" applyBorder="1" applyAlignment="1">
      <alignment horizontal="center" vertical="center" wrapText="1"/>
    </xf>
    <xf numFmtId="0" fontId="70" fillId="4" borderId="34" xfId="0" applyFont="1" applyFill="1" applyBorder="1" applyAlignment="1">
      <alignment horizontal="center" vertical="center" wrapText="1"/>
    </xf>
    <xf numFmtId="2" fontId="69" fillId="5" borderId="35" xfId="0" applyNumberFormat="1" applyFont="1" applyFill="1" applyBorder="1" applyAlignment="1">
      <alignment horizontal="center" vertical="center" wrapText="1"/>
    </xf>
    <xf numFmtId="0" fontId="70" fillId="4" borderId="35" xfId="0" applyFont="1" applyFill="1" applyBorder="1" applyAlignment="1">
      <alignment horizontal="center" vertical="center" wrapText="1"/>
    </xf>
    <xf numFmtId="0" fontId="70" fillId="4" borderId="34" xfId="0" applyFont="1" applyFill="1" applyBorder="1" applyAlignment="1">
      <alignment horizontal="left" vertical="center" wrapText="1" indent="1"/>
    </xf>
    <xf numFmtId="0" fontId="71" fillId="0" borderId="35" xfId="0" applyFont="1" applyBorder="1" applyAlignment="1">
      <alignment horizontal="center" vertical="center" wrapText="1"/>
    </xf>
    <xf numFmtId="0" fontId="71" fillId="0" borderId="34" xfId="0" applyFont="1" applyBorder="1" applyAlignment="1">
      <alignment horizontal="center" vertical="center" wrapText="1"/>
    </xf>
    <xf numFmtId="0" fontId="65" fillId="5" borderId="35" xfId="0" applyFont="1" applyFill="1" applyBorder="1" applyAlignment="1">
      <alignment horizontal="center" vertical="center" wrapText="1"/>
    </xf>
    <xf numFmtId="2" fontId="65" fillId="5" borderId="35" xfId="0" applyNumberFormat="1" applyFont="1" applyFill="1" applyBorder="1" applyAlignment="1">
      <alignment horizontal="center" vertical="center" wrapText="1"/>
    </xf>
    <xf numFmtId="0" fontId="66" fillId="4" borderId="35" xfId="0" applyFont="1" applyFill="1" applyBorder="1" applyAlignment="1">
      <alignment horizontal="center" vertical="center" wrapText="1"/>
    </xf>
    <xf numFmtId="0" fontId="67" fillId="0" borderId="35" xfId="0" applyFont="1" applyBorder="1" applyAlignment="1">
      <alignment horizontal="center" vertical="center" wrapText="1"/>
    </xf>
    <xf numFmtId="0" fontId="67" fillId="0" borderId="34" xfId="0" applyFont="1" applyBorder="1" applyAlignment="1">
      <alignment horizontal="center" vertical="center" wrapText="1"/>
    </xf>
    <xf numFmtId="0" fontId="66" fillId="4" borderId="34" xfId="0" applyFont="1" applyFill="1" applyBorder="1" applyAlignment="1">
      <alignment horizontal="left" vertical="center" wrapText="1" indent="1"/>
    </xf>
    <xf numFmtId="164" fontId="64" fillId="5" borderId="34" xfId="0" applyNumberFormat="1" applyFont="1" applyFill="1" applyBorder="1" applyAlignment="1">
      <alignment horizontal="center" vertical="center" wrapText="1"/>
    </xf>
    <xf numFmtId="0" fontId="66" fillId="4" borderId="34" xfId="0" applyFont="1" applyFill="1" applyBorder="1" applyAlignment="1">
      <alignment horizontal="center" vertical="center" wrapText="1"/>
    </xf>
    <xf numFmtId="0" fontId="29" fillId="22" borderId="9" xfId="0" applyFont="1" applyFill="1" applyBorder="1" applyAlignment="1">
      <alignment horizontal="left" vertical="center" wrapText="1" indent="1"/>
    </xf>
    <xf numFmtId="0" fontId="29" fillId="0" borderId="8" xfId="0" applyFont="1" applyFill="1" applyBorder="1" applyAlignment="1">
      <alignment horizontal="left" vertical="center" wrapText="1" indent="1"/>
    </xf>
    <xf numFmtId="0" fontId="29" fillId="38" borderId="8" xfId="0" applyFont="1" applyFill="1" applyBorder="1" applyAlignment="1">
      <alignment horizontal="left" vertical="center" wrapText="1" indent="1"/>
    </xf>
    <xf numFmtId="0" fontId="28" fillId="20" borderId="0" xfId="0" applyFont="1" applyFill="1" applyBorder="1" applyAlignment="1">
      <alignment horizontal="left" vertical="center" indent="1"/>
    </xf>
    <xf numFmtId="0" fontId="28" fillId="15" borderId="0" xfId="0" applyFont="1" applyFill="1" applyBorder="1" applyAlignment="1">
      <alignment horizontal="left" vertical="center" indent="1"/>
    </xf>
    <xf numFmtId="0" fontId="30" fillId="16" borderId="0" xfId="0" applyFont="1" applyFill="1" applyBorder="1" applyAlignment="1">
      <alignment horizontal="center" vertical="center"/>
    </xf>
    <xf numFmtId="0" fontId="28" fillId="19" borderId="0" xfId="0" applyFont="1" applyFill="1" applyBorder="1" applyAlignment="1">
      <alignment horizontal="left" vertical="center" indent="1"/>
    </xf>
    <xf numFmtId="0" fontId="29" fillId="21" borderId="9" xfId="0" applyFont="1" applyFill="1" applyBorder="1" applyAlignment="1">
      <alignment horizontal="left" vertical="center" wrapText="1" indent="1"/>
    </xf>
    <xf numFmtId="0" fontId="30" fillId="18" borderId="0" xfId="0" applyFont="1" applyFill="1" applyBorder="1" applyAlignment="1">
      <alignment horizontal="center" vertical="center"/>
    </xf>
    <xf numFmtId="0" fontId="27" fillId="14" borderId="0" xfId="0" applyFont="1" applyFill="1" applyBorder="1" applyAlignment="1">
      <alignment horizontal="center" vertical="center"/>
    </xf>
    <xf numFmtId="0" fontId="35" fillId="37" borderId="0" xfId="0" applyFont="1" applyFill="1" applyBorder="1" applyAlignment="1">
      <alignment horizontal="center" vertical="center"/>
    </xf>
    <xf numFmtId="0" fontId="36" fillId="19" borderId="0" xfId="0" applyFont="1" applyFill="1" applyBorder="1" applyAlignment="1">
      <alignment horizontal="center" vertical="center" wrapText="1"/>
    </xf>
    <xf numFmtId="0" fontId="28" fillId="17" borderId="0" xfId="0" applyFont="1" applyFill="1" applyBorder="1" applyAlignment="1">
      <alignment horizontal="left" vertical="center" inden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1" fillId="6" borderId="0" xfId="0" applyFont="1" applyFill="1" applyAlignment="1">
      <alignment horizontal="left" vertical="center" wrapText="1"/>
    </xf>
    <xf numFmtId="0" fontId="19" fillId="5" borderId="2" xfId="0" applyFont="1" applyFill="1" applyBorder="1" applyAlignment="1">
      <alignment horizontal="left" vertical="center" wrapText="1"/>
    </xf>
    <xf numFmtId="0" fontId="0" fillId="0" borderId="5" xfId="0" applyBorder="1"/>
    <xf numFmtId="0" fontId="0" fillId="5" borderId="3" xfId="0" applyFill="1" applyBorder="1" applyAlignment="1">
      <alignment horizontal="left" vertical="top" wrapText="1"/>
    </xf>
    <xf numFmtId="0" fontId="0" fillId="0" borderId="4" xfId="0" applyBorder="1"/>
    <xf numFmtId="0" fontId="0" fillId="0" borderId="6" xfId="0" applyBorder="1"/>
    <xf numFmtId="0" fontId="3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72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73" fillId="0" borderId="0" xfId="0" applyFont="1" applyAlignment="1">
      <alignment horizontal="center" vertical="center" wrapText="1"/>
    </xf>
    <xf numFmtId="0" fontId="25" fillId="5" borderId="3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0" fillId="5" borderId="2" xfId="0" applyFill="1" applyBorder="1"/>
    <xf numFmtId="0" fontId="10" fillId="7" borderId="2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164" fontId="0" fillId="5" borderId="2" xfId="0" applyNumberFormat="1" applyFill="1" applyBorder="1"/>
    <xf numFmtId="0" fontId="10" fillId="7" borderId="2" xfId="0" applyFont="1" applyFill="1" applyBorder="1"/>
    <xf numFmtId="0" fontId="16" fillId="11" borderId="0" xfId="0" applyFont="1" applyFill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left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14" fillId="4" borderId="1" xfId="0" applyNumberFormat="1" applyFont="1" applyFill="1" applyBorder="1" applyAlignment="1">
      <alignment horizontal="left" vertical="center" shrinkToFit="1"/>
    </xf>
    <xf numFmtId="0" fontId="8" fillId="4" borderId="1" xfId="0" applyNumberFormat="1" applyFont="1" applyFill="1" applyBorder="1" applyAlignment="1">
      <alignment horizontal="center" vertical="center" shrinkToFit="1"/>
    </xf>
    <xf numFmtId="0" fontId="8" fillId="4" borderId="1" xfId="0" applyNumberFormat="1" applyFont="1" applyFill="1" applyBorder="1" applyAlignment="1">
      <alignment horizontal="center" vertical="center" wrapText="1"/>
    </xf>
    <xf numFmtId="0" fontId="10" fillId="7" borderId="1" xfId="0" applyNumberFormat="1" applyFont="1" applyFill="1" applyBorder="1" applyAlignment="1">
      <alignment horizontal="center" vertical="center" wrapText="1"/>
    </xf>
    <xf numFmtId="0" fontId="26" fillId="4" borderId="1" xfId="0" applyNumberFormat="1" applyFont="1" applyFill="1" applyBorder="1" applyAlignment="1">
      <alignment horizontal="center" vertical="center" shrinkToFit="1"/>
    </xf>
    <xf numFmtId="9" fontId="26" fillId="4" borderId="1" xfId="0" applyNumberFormat="1" applyFont="1" applyFill="1" applyBorder="1" applyAlignment="1">
      <alignment horizontal="center" vertical="center" shrinkToFit="1"/>
    </xf>
    <xf numFmtId="0" fontId="8" fillId="62" borderId="3" xfId="0" applyFont="1" applyFill="1" applyBorder="1" applyAlignment="1">
      <alignment horizontal="left" vertical="center" wrapText="1" indent="1"/>
    </xf>
    <xf numFmtId="0" fontId="8" fillId="62" borderId="2" xfId="0" applyFont="1" applyFill="1" applyBorder="1" applyAlignment="1">
      <alignment horizontal="left" vertical="center" wrapText="1" indent="1"/>
    </xf>
    <xf numFmtId="0" fontId="8" fillId="62" borderId="5" xfId="0" applyFont="1" applyFill="1" applyBorder="1" applyAlignment="1">
      <alignment horizontal="left" vertical="center" wrapText="1" indent="1"/>
    </xf>
    <xf numFmtId="0" fontId="10" fillId="7" borderId="31" xfId="0" applyFont="1" applyFill="1" applyBorder="1" applyAlignment="1">
      <alignment horizontal="left" vertical="center" wrapText="1" indent="1"/>
    </xf>
    <xf numFmtId="0" fontId="10" fillId="7" borderId="32" xfId="0" applyFont="1" applyFill="1" applyBorder="1" applyAlignment="1">
      <alignment horizontal="left" vertical="center" wrapText="1" indent="1"/>
    </xf>
    <xf numFmtId="0" fontId="10" fillId="7" borderId="33" xfId="0" applyFont="1" applyFill="1" applyBorder="1" applyAlignment="1">
      <alignment horizontal="left" vertical="center" wrapText="1" indent="1"/>
    </xf>
    <xf numFmtId="0" fontId="8" fillId="5" borderId="3" xfId="0" applyFont="1" applyFill="1" applyBorder="1" applyAlignment="1">
      <alignment horizontal="left" vertical="center" wrapText="1" indent="1"/>
    </xf>
    <xf numFmtId="0" fontId="10" fillId="7" borderId="2" xfId="0" applyFont="1" applyFill="1" applyBorder="1" applyAlignment="1">
      <alignment horizontal="left" vertical="center" wrapText="1" indent="1"/>
    </xf>
    <xf numFmtId="0" fontId="7" fillId="6" borderId="0" xfId="0" applyFont="1" applyFill="1" applyAlignment="1">
      <alignment horizontal="left" vertical="center" wrapText="1" indent="1"/>
    </xf>
    <xf numFmtId="0" fontId="37" fillId="39" borderId="3" xfId="0" applyFont="1" applyFill="1" applyBorder="1" applyAlignment="1">
      <alignment horizontal="left" vertical="center" wrapText="1" indent="2"/>
    </xf>
    <xf numFmtId="0" fontId="7" fillId="6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164" fontId="8" fillId="4" borderId="2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5" fillId="7" borderId="0" xfId="0" applyFont="1" applyFill="1" applyAlignment="1">
      <alignment horizontal="left" vertical="center" wrapText="1"/>
    </xf>
    <xf numFmtId="0" fontId="13" fillId="7" borderId="3" xfId="0" applyFont="1" applyFill="1" applyBorder="1" applyAlignment="1">
      <alignment horizontal="left" vertical="center" wrapText="1"/>
    </xf>
    <xf numFmtId="0" fontId="38" fillId="40" borderId="0" xfId="0" applyNumberFormat="1" applyFont="1" applyFill="1" applyBorder="1" applyAlignment="1">
      <alignment horizontal="center" vertical="center"/>
    </xf>
    <xf numFmtId="0" fontId="39" fillId="41" borderId="10" xfId="0" applyNumberFormat="1" applyFont="1" applyFill="1" applyBorder="1" applyAlignment="1">
      <alignment horizontal="left" vertical="center" wrapText="1" indent="1"/>
    </xf>
    <xf numFmtId="0" fontId="40" fillId="42" borderId="11" xfId="0" applyNumberFormat="1" applyFont="1" applyFill="1" applyBorder="1" applyAlignment="1">
      <alignment horizontal="left" vertical="center" wrapText="1" indent="1"/>
    </xf>
    <xf numFmtId="0" fontId="43" fillId="45" borderId="14" xfId="0" applyNumberFormat="1" applyFont="1" applyFill="1" applyBorder="1" applyAlignment="1">
      <alignment horizontal="center" vertical="center" wrapText="1"/>
    </xf>
    <xf numFmtId="0" fontId="49" fillId="51" borderId="20" xfId="0" applyNumberFormat="1" applyFont="1" applyFill="1" applyBorder="1" applyAlignment="1">
      <alignment horizontal="center" vertical="center" wrapText="1"/>
    </xf>
    <xf numFmtId="0" fontId="51" fillId="53" borderId="22" xfId="0" applyNumberFormat="1" applyFont="1" applyFill="1" applyBorder="1" applyAlignment="1">
      <alignment horizontal="center" vertical="center" wrapText="1"/>
    </xf>
    <xf numFmtId="0" fontId="52" fillId="54" borderId="2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b/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i/>
        <color rgb="FF4A235A"/>
      </font>
      <fill>
        <patternFill>
          <bgColor rgb="FFE0A8DA"/>
        </patternFill>
      </fill>
    </dxf>
    <dxf>
      <font>
        <b/>
        <color rgb="FF9C0006"/>
      </font>
      <fill>
        <patternFill>
          <bgColor rgb="FFFFC000"/>
        </patternFill>
      </fill>
    </dxf>
    <dxf>
      <font>
        <b/>
        <color rgb="FFE63946"/>
      </font>
      <fill>
        <patternFill>
          <bgColor rgb="FFFADADD"/>
        </patternFill>
      </fill>
    </dxf>
    <dxf>
      <font>
        <b/>
        <color rgb="FFE63946"/>
      </font>
      <fill>
        <patternFill>
          <bgColor rgb="FFFADADD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7F4F00"/>
      </font>
      <fill>
        <patternFill>
          <bgColor rgb="FFFFF3CD"/>
        </patternFill>
      </fill>
    </dxf>
    <dxf>
      <font>
        <b/>
        <color rgb="FFE63946"/>
      </font>
      <fill>
        <patternFill>
          <bgColor rgb="FFFADADD"/>
        </patternFill>
      </fill>
    </dxf>
    <dxf>
      <font>
        <b/>
        <color rgb="FF1F7E1F"/>
      </font>
      <fill>
        <patternFill>
          <bgColor rgb="FFD4EDDA"/>
        </patternFill>
      </fill>
    </dxf>
    <dxf>
      <font>
        <b/>
        <color rgb="FFE63946"/>
      </font>
      <fill>
        <patternFill>
          <bgColor rgb="FFFADADD"/>
        </patternFill>
      </fill>
    </dxf>
    <dxf>
      <font>
        <b/>
        <color rgb="FFE63946"/>
      </font>
      <fill>
        <patternFill>
          <bgColor rgb="FFFADADD"/>
        </patternFill>
      </fill>
    </dxf>
    <dxf>
      <font>
        <b/>
        <color rgb="FFE63946"/>
      </font>
      <fill>
        <patternFill>
          <bgColor rgb="FFFADADD"/>
        </patternFill>
      </fill>
    </dxf>
    <dxf>
      <font>
        <b/>
        <color rgb="FFE63946"/>
      </font>
      <fill>
        <patternFill>
          <bgColor rgb="FFFADADD"/>
        </patternFill>
      </fill>
    </dxf>
    <dxf>
      <font>
        <b/>
        <color rgb="FFE63946"/>
      </font>
      <fill>
        <patternFill>
          <bgColor rgb="FFFADAD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E1F"/>
      <rgbColor rgb="FF000080"/>
      <rgbColor rgb="FF808000"/>
      <rgbColor rgb="FF800080"/>
      <rgbColor rgb="FF0D7377"/>
      <rgbColor rgb="FFBFBFBF"/>
      <rgbColor rgb="FF878787"/>
      <rgbColor rgb="FF9999FF"/>
      <rgbColor rgb="FF7030A0"/>
      <rgbColor rgb="FFFFF3CD"/>
      <rgbColor rgb="FFD6E4F0"/>
      <rgbColor rgb="FF660066"/>
      <rgbColor rgb="FFF4A26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4EDDA"/>
      <rgbColor rgb="FFFFFF99"/>
      <rgbColor rgb="FF99CCFF"/>
      <rgbColor rgb="FFFF99CC"/>
      <rgbColor rgb="FFCC99FF"/>
      <rgbColor rgb="FFFADADD"/>
      <rgbColor rgb="FF4472C4"/>
      <rgbColor rgb="FF33CCCC"/>
      <rgbColor rgb="FF99CC00"/>
      <rgbColor rgb="FFFFCC00"/>
      <rgbColor rgb="FFFF9900"/>
      <rgbColor rgb="FFC55A11"/>
      <rgbColor rgb="FF767171"/>
      <rgbColor rgb="FF969696"/>
      <rgbColor rgb="FF1B3A6B"/>
      <rgbColor rgb="FF2D9E47"/>
      <rgbColor rgb="FF003300"/>
      <rgbColor rgb="FF333300"/>
      <rgbColor rgb="FF7F4F00"/>
      <rgbColor rgb="FFE63946"/>
      <rgbColor rgb="FF2C3E6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600" b="1">
                <a:solidFill>
                  <a:srgbClr val="000000"/>
                </a:solidFill>
                <a:latin typeface="Calibri"/>
              </a:defRPr>
            </a:pPr>
            <a:r>
              <a:rPr lang="en-IN" sz="1600" b="1">
                <a:solidFill>
                  <a:srgbClr val="000000"/>
                </a:solidFill>
                <a:latin typeface="Calibri"/>
              </a:rPr>
              <a:t>Serum Creatinine Trend (mg/dL)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Serum Creatinine</c:v>
          </c:tx>
          <c:spPr>
            <a:ln w="31750">
              <a:solidFill>
                <a:srgbClr val="1B3A6B"/>
              </a:solidFill>
              <a:round/>
            </a:ln>
          </c:spPr>
          <c:marker>
            <c:symbol val="circle"/>
            <c:size val="8"/>
            <c:spPr>
              <a:solidFill>
                <a:srgbClr val="1B3A6B"/>
              </a:solidFill>
              <a:ln w="9525">
                <a:solidFill>
                  <a:srgbClr val="FFFFFF"/>
                </a:solidFill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'🧪 Lab Results'!$G$4:$Z$4</c:f>
              <c:numCache>
                <c:formatCode>d\-mmm\-yy</c:formatCode>
                <c:ptCount val="20"/>
              </c:numCache>
            </c:numRef>
          </c:xVal>
          <c:yVal>
            <c:numRef>
              <c:f>'🧪 Lab Results'!$G$6:$Z$6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7D-4C08-B5D7-2923E9BAE5AC}"/>
            </c:ext>
          </c:extLst>
        </c:ser>
        <c:ser>
          <c:idx val="1"/>
          <c:order val="1"/>
          <c:tx>
            <c:strRef>
              <c:f>'⚙ Dashboard Settings'!$B$38</c:f>
              <c:strCache>
                <c:ptCount val="1"/>
                <c:pt idx="0">
                  <c:v>Lower limit (0.6)</c:v>
                </c:pt>
              </c:strCache>
            </c:strRef>
          </c:tx>
          <c:spPr>
            <a:ln w="19050">
              <a:solidFill>
                <a:srgbClr val="3B82C4"/>
              </a:solidFill>
              <a:prstDash val="dash"/>
              <a:round/>
            </a:ln>
          </c:spPr>
          <c:marker>
            <c:symbol val="none"/>
          </c:marker>
          <c:xVal>
            <c:numRef>
              <c:f>'⚙ Dashboard Settings'!$C$38:$D$38</c:f>
              <c:numCache>
                <c:formatCode>d\-mmm\-yy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'⚙ Dashboard Settings'!$E$38:$F$38</c:f>
              <c:numCache>
                <c:formatCode>General</c:formatCode>
                <c:ptCount val="2"/>
                <c:pt idx="0">
                  <c:v>0.6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7D-4C08-B5D7-2923E9BAE5AC}"/>
            </c:ext>
          </c:extLst>
        </c:ser>
        <c:ser>
          <c:idx val="2"/>
          <c:order val="2"/>
          <c:tx>
            <c:strRef>
              <c:f>'⚙ Dashboard Settings'!$B$39</c:f>
              <c:strCache>
                <c:ptCount val="1"/>
                <c:pt idx="0">
                  <c:v>Upper limit (1.2)</c:v>
                </c:pt>
              </c:strCache>
            </c:strRef>
          </c:tx>
          <c:spPr>
            <a:ln w="19050">
              <a:solidFill>
                <a:srgbClr val="E63946"/>
              </a:solidFill>
              <a:prstDash val="dash"/>
              <a:round/>
            </a:ln>
          </c:spPr>
          <c:marker>
            <c:symbol val="none"/>
          </c:marker>
          <c:xVal>
            <c:numRef>
              <c:f>'⚙ Dashboard Settings'!$C$39:$D$39</c:f>
              <c:numCache>
                <c:formatCode>d\-mmm\-yy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'⚙ Dashboard Settings'!$E$39:$F$39</c:f>
              <c:numCache>
                <c:formatCode>General</c:formatCode>
                <c:ptCount val="2"/>
                <c:pt idx="0">
                  <c:v>1.2</c:v>
                </c:pt>
                <c:pt idx="1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7D-4C08-B5D7-2923E9BAE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6"/>
        <c:axId val="50026"/>
      </c:scatterChart>
      <c:valAx>
        <c:axId val="50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>
                    <a:solidFill>
                      <a:srgbClr val="000000"/>
                    </a:solidFill>
                    <a:latin typeface="Calibri"/>
                  </a:rPr>
                  <a:t>Test date</a:t>
                </a:r>
              </a:p>
            </c:rich>
          </c:tx>
          <c:overlay val="0"/>
        </c:title>
        <c:numFmt formatCode="d\-mmm\-yy" sourceLinked="0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26"/>
        <c:crosses val="autoZero"/>
        <c:crossBetween val="midCat"/>
      </c:valAx>
      <c:valAx>
        <c:axId val="5002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>
                    <a:solidFill>
                      <a:srgbClr val="000000"/>
                    </a:solidFill>
                    <a:latin typeface="Calibri"/>
                  </a:rPr>
                  <a:t>mg/dL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16"/>
        <c:crosses val="min"/>
        <c:crossBetween val="midCat"/>
      </c:valAx>
    </c:plotArea>
    <c:legend>
      <c:legendPos val="t"/>
      <c:overlay val="0"/>
      <c:txPr>
        <a:bodyPr/>
        <a:lstStyle/>
        <a:p>
          <a:pPr>
            <a:defRPr sz="1000" b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600" b="1">
                <a:solidFill>
                  <a:srgbClr val="000000"/>
                </a:solidFill>
                <a:latin typeface="Calibri"/>
              </a:defRPr>
            </a:pPr>
            <a:r>
              <a:rPr lang="en-IN" sz="1600" b="1">
                <a:solidFill>
                  <a:srgbClr val="000000"/>
                </a:solidFill>
                <a:latin typeface="Calibri"/>
              </a:rPr>
              <a:t>eGFR Trend (mL/min/1.73m²)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eGFR</c:v>
          </c:tx>
          <c:spPr>
            <a:ln w="31750">
              <a:solidFill>
                <a:srgbClr val="0D7377"/>
              </a:solidFill>
              <a:round/>
            </a:ln>
          </c:spPr>
          <c:marker>
            <c:symbol val="circle"/>
            <c:size val="8"/>
            <c:spPr>
              <a:solidFill>
                <a:srgbClr val="0D7377"/>
              </a:solidFill>
              <a:ln w="9525">
                <a:solidFill>
                  <a:srgbClr val="FFFFFF"/>
                </a:solidFill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'🧪 Lab Results'!$G$4:$Z$4</c:f>
              <c:numCache>
                <c:formatCode>d\-mmm\-yy</c:formatCode>
                <c:ptCount val="20"/>
              </c:numCache>
            </c:numRef>
          </c:xVal>
          <c:yVal>
            <c:numRef>
              <c:f>'🧪 Lab Results'!$G$7:$Z$7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88-48BB-A4FC-54F23B07A69E}"/>
            </c:ext>
          </c:extLst>
        </c:ser>
        <c:ser>
          <c:idx val="1"/>
          <c:order val="1"/>
          <c:tx>
            <c:strRef>
              <c:f>'⚙ Dashboard Settings'!$B$40</c:f>
              <c:strCache>
                <c:ptCount val="1"/>
                <c:pt idx="0">
                  <c:v>Target minimum (45)</c:v>
                </c:pt>
              </c:strCache>
            </c:strRef>
          </c:tx>
          <c:spPr>
            <a:ln w="19050">
              <a:solidFill>
                <a:srgbClr val="E63946"/>
              </a:solidFill>
              <a:prstDash val="dash"/>
              <a:round/>
            </a:ln>
          </c:spPr>
          <c:marker>
            <c:symbol val="none"/>
          </c:marker>
          <c:xVal>
            <c:numRef>
              <c:f>'⚙ Dashboard Settings'!$C$40:$D$40</c:f>
              <c:numCache>
                <c:formatCode>d\-mmm\-yy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'⚙ Dashboard Settings'!$E$40:$F$40</c:f>
              <c:numCache>
                <c:formatCode>General</c:formatCode>
                <c:ptCount val="2"/>
                <c:pt idx="0">
                  <c:v>45</c:v>
                </c:pt>
                <c:pt idx="1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88-48BB-A4FC-54F23B07A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7"/>
        <c:axId val="50027"/>
      </c:scatterChart>
      <c:valAx>
        <c:axId val="50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>
                    <a:solidFill>
                      <a:srgbClr val="000000"/>
                    </a:solidFill>
                    <a:latin typeface="Calibri"/>
                  </a:rPr>
                  <a:t>Test date</a:t>
                </a:r>
              </a:p>
            </c:rich>
          </c:tx>
          <c:overlay val="0"/>
        </c:title>
        <c:numFmt formatCode="d\-mmm\-yy" sourceLinked="0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27"/>
        <c:crosses val="autoZero"/>
        <c:crossBetween val="midCat"/>
      </c:valAx>
      <c:valAx>
        <c:axId val="5002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>
                    <a:solidFill>
                      <a:srgbClr val="000000"/>
                    </a:solidFill>
                    <a:latin typeface="Calibri"/>
                  </a:rPr>
                  <a:t>mL/min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17"/>
        <c:crosses val="min"/>
        <c:crossBetween val="midCat"/>
      </c:valAx>
    </c:plotArea>
    <c:legend>
      <c:legendPos val="t"/>
      <c:overlay val="0"/>
      <c:txPr>
        <a:bodyPr/>
        <a:lstStyle/>
        <a:p>
          <a:pPr>
            <a:defRPr sz="1000" b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600" b="1">
                <a:solidFill>
                  <a:srgbClr val="000000"/>
                </a:solidFill>
                <a:latin typeface="Calibri"/>
              </a:defRPr>
            </a:pPr>
            <a:r>
              <a:rPr lang="en-IN" sz="1600" b="1">
                <a:solidFill>
                  <a:srgbClr val="000000"/>
                </a:solidFill>
                <a:latin typeface="Calibri"/>
              </a:rPr>
              <a:t>Tacrolimus Trough Trend (ng/mL)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Tacrolimus Trough</c:v>
          </c:tx>
          <c:spPr>
            <a:ln w="31750">
              <a:solidFill>
                <a:srgbClr val="E07B00"/>
              </a:solidFill>
              <a:round/>
            </a:ln>
          </c:spPr>
          <c:marker>
            <c:symbol val="circle"/>
            <c:size val="8"/>
            <c:spPr>
              <a:solidFill>
                <a:srgbClr val="E07B00"/>
              </a:solidFill>
              <a:ln w="9525">
                <a:solidFill>
                  <a:srgbClr val="FFFFFF"/>
                </a:solidFill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'🧪 Lab Results'!$G$4:$Z$4</c:f>
              <c:numCache>
                <c:formatCode>d\-mmm\-yy</c:formatCode>
                <c:ptCount val="20"/>
              </c:numCache>
            </c:numRef>
          </c:xVal>
          <c:yVal>
            <c:numRef>
              <c:f>'🧪 Lab Results'!$G$8:$Z$8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FA-4E66-93DA-49650909FA6C}"/>
            </c:ext>
          </c:extLst>
        </c:ser>
        <c:ser>
          <c:idx val="1"/>
          <c:order val="1"/>
          <c:tx>
            <c:strRef>
              <c:f>'⚙ Dashboard Settings'!$B$41</c:f>
              <c:strCache>
                <c:ptCount val="1"/>
                <c:pt idx="0">
                  <c:v>Lower limit (5)</c:v>
                </c:pt>
              </c:strCache>
            </c:strRef>
          </c:tx>
          <c:spPr>
            <a:ln w="19050">
              <a:solidFill>
                <a:srgbClr val="3B82C4"/>
              </a:solidFill>
              <a:prstDash val="dash"/>
              <a:round/>
            </a:ln>
          </c:spPr>
          <c:marker>
            <c:symbol val="none"/>
          </c:marker>
          <c:xVal>
            <c:numRef>
              <c:f>'⚙ Dashboard Settings'!$C$41:$D$41</c:f>
              <c:numCache>
                <c:formatCode>d\-mmm\-yy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'⚙ Dashboard Settings'!$E$41:$F$41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FA-4E66-93DA-49650909FA6C}"/>
            </c:ext>
          </c:extLst>
        </c:ser>
        <c:ser>
          <c:idx val="2"/>
          <c:order val="2"/>
          <c:tx>
            <c:strRef>
              <c:f>'⚙ Dashboard Settings'!$B$42</c:f>
              <c:strCache>
                <c:ptCount val="1"/>
                <c:pt idx="0">
                  <c:v>Upper limit (12)</c:v>
                </c:pt>
              </c:strCache>
            </c:strRef>
          </c:tx>
          <c:spPr>
            <a:ln w="19050">
              <a:solidFill>
                <a:srgbClr val="E63946"/>
              </a:solidFill>
              <a:prstDash val="dash"/>
              <a:round/>
            </a:ln>
          </c:spPr>
          <c:marker>
            <c:symbol val="none"/>
          </c:marker>
          <c:xVal>
            <c:numRef>
              <c:f>'⚙ Dashboard Settings'!$C$42:$D$42</c:f>
              <c:numCache>
                <c:formatCode>d\-mmm\-yy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'⚙ Dashboard Settings'!$E$42:$F$42</c:f>
              <c:numCache>
                <c:formatCode>General</c:formatCode>
                <c:ptCount val="2"/>
                <c:pt idx="0">
                  <c:v>12</c:v>
                </c:pt>
                <c:pt idx="1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FA-4E66-93DA-49650909F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8"/>
        <c:axId val="50028"/>
      </c:scatterChart>
      <c:valAx>
        <c:axId val="50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>
                    <a:solidFill>
                      <a:srgbClr val="000000"/>
                    </a:solidFill>
                    <a:latin typeface="Calibri"/>
                  </a:rPr>
                  <a:t>Test date</a:t>
                </a:r>
              </a:p>
            </c:rich>
          </c:tx>
          <c:overlay val="0"/>
        </c:title>
        <c:numFmt formatCode="d\-mmm\-yy" sourceLinked="0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28"/>
        <c:crosses val="autoZero"/>
        <c:crossBetween val="midCat"/>
      </c:valAx>
      <c:valAx>
        <c:axId val="500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>
                    <a:solidFill>
                      <a:srgbClr val="000000"/>
                    </a:solidFill>
                    <a:latin typeface="Calibri"/>
                  </a:rPr>
                  <a:t>ng/mL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18"/>
        <c:crosses val="min"/>
        <c:crossBetween val="midCat"/>
      </c:valAx>
    </c:plotArea>
    <c:legend>
      <c:legendPos val="t"/>
      <c:overlay val="0"/>
      <c:txPr>
        <a:bodyPr/>
        <a:lstStyle/>
        <a:p>
          <a:pPr>
            <a:defRPr sz="1000" b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6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600" b="1" strike="noStrike" spc="-1">
                <a:solidFill>
                  <a:srgbClr val="000000"/>
                </a:solidFill>
                <a:latin typeface="Calibri"/>
              </a:rPr>
              <a:t>Weight Trend (kg)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Weight (kg)</c:v>
          </c:tx>
          <c:spPr>
            <a:ln w="47520">
              <a:solidFill>
                <a:srgbClr val="2D9E4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'📅 Daily Vitals Log'!$B$4:$B$98</c:f>
              <c:numCache>
                <c:formatCode>dd\-mmm\-yyyy</c:formatCode>
                <c:ptCount val="95"/>
              </c:numCache>
            </c:numRef>
          </c:cat>
          <c:val>
            <c:numRef>
              <c:f>'📅 Daily Vitals Log'!$H$4:$H$98</c:f>
              <c:numCache>
                <c:formatCode>0.00</c:formatCode>
                <c:ptCount val="9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D9-4F61-BD82-DAFF73926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68643"/>
        <c:axId val="92813243"/>
      </c:lineChart>
      <c:catAx>
        <c:axId val="113686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 (weekly marks)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d\-mmm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813243"/>
        <c:crosses val="autoZero"/>
        <c:auto val="0"/>
        <c:lblAlgn val="ctr"/>
        <c:lblOffset val="100"/>
        <c:tickLblSkip val="7"/>
        <c:tickMarkSkip val="7"/>
        <c:noMultiLvlLbl val="1"/>
      </c:catAx>
      <c:valAx>
        <c:axId val="928132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368643"/>
        <c:crosses val="autoZero"/>
        <c:crossBetween val="between"/>
      </c:valAx>
    </c:plotArea>
    <c:legend>
      <c:legendPos val="t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6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600" b="1" strike="noStrike" spc="-1">
                <a:solidFill>
                  <a:srgbClr val="000000"/>
                </a:solidFill>
                <a:latin typeface="Calibri"/>
              </a:rPr>
              <a:t>Urine Output Trend (mL/day)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Urine Output (mL/day)</c:v>
          </c:tx>
          <c:spPr>
            <a:ln w="47520">
              <a:solidFill>
                <a:srgbClr val="F4A26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'📅 Daily Vitals Log'!$B$4:$B$98</c:f>
              <c:numCache>
                <c:formatCode>dd\-mmm\-yyyy</c:formatCode>
                <c:ptCount val="95"/>
              </c:numCache>
            </c:numRef>
          </c:cat>
          <c:val>
            <c:numRef>
              <c:f>'📅 Daily Vitals Log'!$J$4:$J$98</c:f>
              <c:numCache>
                <c:formatCode>General</c:formatCode>
                <c:ptCount val="9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64-49EE-BD3B-29DCE5A18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79489"/>
        <c:axId val="84674074"/>
      </c:lineChart>
      <c:catAx>
        <c:axId val="351794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 (weekly marks)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d\-mmm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674074"/>
        <c:crosses val="autoZero"/>
        <c:auto val="0"/>
        <c:lblAlgn val="ctr"/>
        <c:lblOffset val="100"/>
        <c:tickLblSkip val="7"/>
        <c:tickMarkSkip val="7"/>
        <c:noMultiLvlLbl val="1"/>
      </c:catAx>
      <c:valAx>
        <c:axId val="846740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mL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179489"/>
        <c:crosses val="autoZero"/>
        <c:crossBetween val="between"/>
      </c:valAx>
    </c:plotArea>
    <c:legend>
      <c:legendPos val="t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6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600" b="1" strike="noStrike" spc="-1">
                <a:solidFill>
                  <a:srgbClr val="000000"/>
                </a:solidFill>
                <a:latin typeface="Calibri"/>
              </a:rPr>
              <a:t>Blood Pressure Trend (mmHg)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Systolic (mmHg)</c:v>
          </c:tx>
          <c:spPr>
            <a:ln w="47520">
              <a:solidFill>
                <a:srgbClr val="E6394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'📅 Daily Vitals Log'!$B$4:$B$98</c:f>
              <c:numCache>
                <c:formatCode>dd\-mmm\-yyyy</c:formatCode>
                <c:ptCount val="95"/>
              </c:numCache>
            </c:numRef>
          </c:cat>
          <c:val>
            <c:numRef>
              <c:f>'📅 Daily Vitals Log'!$C$4:$C$98</c:f>
              <c:numCache>
                <c:formatCode>General</c:formatCode>
                <c:ptCount val="9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B5-4E98-802A-9EF59C1AFC7B}"/>
            </c:ext>
          </c:extLst>
        </c:ser>
        <c:ser>
          <c:idx val="1"/>
          <c:order val="1"/>
          <c:tx>
            <c:v>Diastolic (mmHg)</c:v>
          </c:tx>
          <c:spPr>
            <a:ln w="47520">
              <a:solidFill>
                <a:srgbClr val="4472C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'📅 Daily Vitals Log'!$B$4:$B$98</c:f>
              <c:numCache>
                <c:formatCode>dd\-mmm\-yyyy</c:formatCode>
                <c:ptCount val="95"/>
              </c:numCache>
            </c:numRef>
          </c:cat>
          <c:val>
            <c:numRef>
              <c:f>'📅 Daily Vitals Log'!$D$4:$D$98</c:f>
              <c:numCache>
                <c:formatCode>General</c:formatCode>
                <c:ptCount val="9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9B5-4E98-802A-9EF59C1AF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245052"/>
        <c:axId val="78775185"/>
      </c:lineChart>
      <c:catAx>
        <c:axId val="292450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 (weekly marks)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d\-mmm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775185"/>
        <c:crosses val="autoZero"/>
        <c:auto val="0"/>
        <c:lblAlgn val="ctr"/>
        <c:lblOffset val="100"/>
        <c:tickLblSkip val="7"/>
        <c:tickMarkSkip val="7"/>
        <c:noMultiLvlLbl val="1"/>
      </c:catAx>
      <c:valAx>
        <c:axId val="787751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mmHg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245052"/>
        <c:crosses val="autoZero"/>
        <c:crossBetween val="between"/>
      </c:valAx>
    </c:plotArea>
    <c:legend>
      <c:legendPos val="t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6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600" b="1" strike="noStrike" spc="-1">
                <a:solidFill>
                  <a:srgbClr val="000000"/>
                </a:solidFill>
                <a:latin typeface="Calibri"/>
              </a:rPr>
              <a:t>SpO₂ Trend (%)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SpO₂ (%)</c:v>
          </c:tx>
          <c:spPr>
            <a:ln w="47520">
              <a:solidFill>
                <a:srgbClr val="0D737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'📅 Daily Vitals Log'!$B$4:$B$98</c:f>
              <c:numCache>
                <c:formatCode>dd\-mmm\-yyyy</c:formatCode>
                <c:ptCount val="95"/>
              </c:numCache>
            </c:numRef>
          </c:cat>
          <c:val>
            <c:numRef>
              <c:f>'📅 Daily Vitals Log'!$F$4:$F$98</c:f>
              <c:numCache>
                <c:formatCode>General</c:formatCode>
                <c:ptCount val="9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E4-42ED-B09A-C95348ED7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70776"/>
        <c:axId val="2354784"/>
      </c:lineChart>
      <c:catAx>
        <c:axId val="600707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 (weekly marks)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d\-mmm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54784"/>
        <c:crosses val="autoZero"/>
        <c:auto val="0"/>
        <c:lblAlgn val="ctr"/>
        <c:lblOffset val="100"/>
        <c:tickLblSkip val="7"/>
        <c:tickMarkSkip val="7"/>
        <c:noMultiLvlLbl val="1"/>
      </c:catAx>
      <c:valAx>
        <c:axId val="23547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070776"/>
        <c:crosses val="autoZero"/>
        <c:crossBetween val="between"/>
      </c:valAx>
    </c:plotArea>
    <c:legend>
      <c:legendPos val="t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600" b="1">
                <a:solidFill>
                  <a:srgbClr val="000000"/>
                </a:solidFill>
                <a:latin typeface="Calibri"/>
              </a:defRPr>
            </a:pPr>
            <a:r>
              <a:rPr lang="en-IN" sz="1600" b="1">
                <a:solidFill>
                  <a:srgbClr val="000000"/>
                </a:solidFill>
                <a:latin typeface="Calibri"/>
              </a:rPr>
              <a:t>Fasting Blood Sugar Trend (mg/dL)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Fasting blood sugar (mg/dL)</c:v>
          </c:tx>
          <c:spPr>
            <a:ln w="28575">
              <a:solidFill>
                <a:srgbClr val="7B2D8E"/>
              </a:solidFill>
              <a:round/>
            </a:ln>
          </c:spPr>
          <c:marker>
            <c:symbol val="circle"/>
            <c:size val="5"/>
            <c:spPr>
              <a:solidFill>
                <a:srgbClr val="7B2D8E"/>
              </a:solidFill>
              <a:ln w="9525">
                <a:solidFill>
                  <a:srgbClr val="FFFFFF"/>
                </a:solidFill>
              </a:ln>
            </c:spPr>
          </c:marker>
          <c:cat>
            <c:numRef>
              <c:f>'📅 Daily Vitals Log'!$B$4:$B$98</c:f>
              <c:numCache>
                <c:formatCode>dd\-mmm\-yyyy</c:formatCode>
                <c:ptCount val="95"/>
              </c:numCache>
            </c:numRef>
          </c:cat>
          <c:val>
            <c:numRef>
              <c:f>'📅 Daily Vitals Log'!$M$4:$M$98</c:f>
              <c:numCache>
                <c:formatCode>General</c:formatCode>
                <c:ptCount val="9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1F-4707-AA3B-2CEA4040E011}"/>
            </c:ext>
          </c:extLst>
        </c:ser>
        <c:ser>
          <c:idx val="1"/>
          <c:order val="1"/>
          <c:tx>
            <c:strRef>
              <c:f>'⚙ Dashboard Settings'!$P$5</c:f>
              <c:strCache>
                <c:ptCount val="1"/>
                <c:pt idx="0">
                  <c:v>Target low (70)</c:v>
                </c:pt>
              </c:strCache>
            </c:strRef>
          </c:tx>
          <c:spPr>
            <a:ln w="19050">
              <a:solidFill>
                <a:srgbClr val="3B82C4"/>
              </a:solidFill>
              <a:prstDash val="dash"/>
              <a:round/>
            </a:ln>
          </c:spPr>
          <c:marker>
            <c:symbol val="none"/>
          </c:marker>
          <c:cat>
            <c:numRef>
              <c:f>'📅 Daily Vitals Log'!$B$4:$B$98</c:f>
              <c:numCache>
                <c:formatCode>dd\-mmm\-yyyy</c:formatCode>
                <c:ptCount val="95"/>
              </c:numCache>
            </c:numRef>
          </c:cat>
          <c:val>
            <c:numRef>
              <c:f>'⚙ Dashboard Settings'!$P$6:$P$100</c:f>
              <c:numCache>
                <c:formatCode>General</c:formatCode>
                <c:ptCount val="95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1F-4707-AA3B-2CEA4040E011}"/>
            </c:ext>
          </c:extLst>
        </c:ser>
        <c:ser>
          <c:idx val="2"/>
          <c:order val="2"/>
          <c:tx>
            <c:strRef>
              <c:f>'⚙ Dashboard Settings'!$Q$5</c:f>
              <c:strCache>
                <c:ptCount val="1"/>
                <c:pt idx="0">
                  <c:v>Target high (126)</c:v>
                </c:pt>
              </c:strCache>
            </c:strRef>
          </c:tx>
          <c:spPr>
            <a:ln w="19050">
              <a:solidFill>
                <a:srgbClr val="2D9E47"/>
              </a:solidFill>
              <a:prstDash val="dash"/>
              <a:round/>
            </a:ln>
          </c:spPr>
          <c:marker>
            <c:symbol val="none"/>
          </c:marker>
          <c:cat>
            <c:numRef>
              <c:f>'📅 Daily Vitals Log'!$B$4:$B$98</c:f>
              <c:numCache>
                <c:formatCode>dd\-mmm\-yyyy</c:formatCode>
                <c:ptCount val="95"/>
              </c:numCache>
            </c:numRef>
          </c:cat>
          <c:val>
            <c:numRef>
              <c:f>'⚙ Dashboard Settings'!$Q$6:$Q$100</c:f>
              <c:numCache>
                <c:formatCode>General</c:formatCode>
                <c:ptCount val="95"/>
                <c:pt idx="0">
                  <c:v>126</c:v>
                </c:pt>
                <c:pt idx="1">
                  <c:v>126</c:v>
                </c:pt>
                <c:pt idx="2">
                  <c:v>126</c:v>
                </c:pt>
                <c:pt idx="3">
                  <c:v>126</c:v>
                </c:pt>
                <c:pt idx="4">
                  <c:v>126</c:v>
                </c:pt>
                <c:pt idx="5">
                  <c:v>126</c:v>
                </c:pt>
                <c:pt idx="6">
                  <c:v>126</c:v>
                </c:pt>
                <c:pt idx="7">
                  <c:v>126</c:v>
                </c:pt>
                <c:pt idx="8">
                  <c:v>126</c:v>
                </c:pt>
                <c:pt idx="9">
                  <c:v>126</c:v>
                </c:pt>
                <c:pt idx="10">
                  <c:v>126</c:v>
                </c:pt>
                <c:pt idx="11">
                  <c:v>126</c:v>
                </c:pt>
                <c:pt idx="12">
                  <c:v>126</c:v>
                </c:pt>
                <c:pt idx="13">
                  <c:v>126</c:v>
                </c:pt>
                <c:pt idx="14">
                  <c:v>126</c:v>
                </c:pt>
                <c:pt idx="15">
                  <c:v>126</c:v>
                </c:pt>
                <c:pt idx="16">
                  <c:v>126</c:v>
                </c:pt>
                <c:pt idx="17">
                  <c:v>126</c:v>
                </c:pt>
                <c:pt idx="18">
                  <c:v>126</c:v>
                </c:pt>
                <c:pt idx="19">
                  <c:v>126</c:v>
                </c:pt>
                <c:pt idx="20">
                  <c:v>126</c:v>
                </c:pt>
                <c:pt idx="21">
                  <c:v>126</c:v>
                </c:pt>
                <c:pt idx="22">
                  <c:v>126</c:v>
                </c:pt>
                <c:pt idx="23">
                  <c:v>126</c:v>
                </c:pt>
                <c:pt idx="24">
                  <c:v>126</c:v>
                </c:pt>
                <c:pt idx="25">
                  <c:v>126</c:v>
                </c:pt>
                <c:pt idx="26">
                  <c:v>126</c:v>
                </c:pt>
                <c:pt idx="27">
                  <c:v>126</c:v>
                </c:pt>
                <c:pt idx="28">
                  <c:v>126</c:v>
                </c:pt>
                <c:pt idx="29">
                  <c:v>126</c:v>
                </c:pt>
                <c:pt idx="30">
                  <c:v>126</c:v>
                </c:pt>
                <c:pt idx="31">
                  <c:v>126</c:v>
                </c:pt>
                <c:pt idx="32">
                  <c:v>126</c:v>
                </c:pt>
                <c:pt idx="33">
                  <c:v>126</c:v>
                </c:pt>
                <c:pt idx="34">
                  <c:v>126</c:v>
                </c:pt>
                <c:pt idx="35">
                  <c:v>126</c:v>
                </c:pt>
                <c:pt idx="36">
                  <c:v>126</c:v>
                </c:pt>
                <c:pt idx="37">
                  <c:v>126</c:v>
                </c:pt>
                <c:pt idx="38">
                  <c:v>126</c:v>
                </c:pt>
                <c:pt idx="39">
                  <c:v>126</c:v>
                </c:pt>
                <c:pt idx="40">
                  <c:v>126</c:v>
                </c:pt>
                <c:pt idx="41">
                  <c:v>126</c:v>
                </c:pt>
                <c:pt idx="42">
                  <c:v>126</c:v>
                </c:pt>
                <c:pt idx="43">
                  <c:v>126</c:v>
                </c:pt>
                <c:pt idx="44">
                  <c:v>126</c:v>
                </c:pt>
                <c:pt idx="45">
                  <c:v>126</c:v>
                </c:pt>
                <c:pt idx="46">
                  <c:v>126</c:v>
                </c:pt>
                <c:pt idx="47">
                  <c:v>126</c:v>
                </c:pt>
                <c:pt idx="48">
                  <c:v>126</c:v>
                </c:pt>
                <c:pt idx="49">
                  <c:v>126</c:v>
                </c:pt>
                <c:pt idx="50">
                  <c:v>126</c:v>
                </c:pt>
                <c:pt idx="51">
                  <c:v>126</c:v>
                </c:pt>
                <c:pt idx="52">
                  <c:v>126</c:v>
                </c:pt>
                <c:pt idx="53">
                  <c:v>126</c:v>
                </c:pt>
                <c:pt idx="54">
                  <c:v>126</c:v>
                </c:pt>
                <c:pt idx="55">
                  <c:v>126</c:v>
                </c:pt>
                <c:pt idx="56">
                  <c:v>126</c:v>
                </c:pt>
                <c:pt idx="57">
                  <c:v>126</c:v>
                </c:pt>
                <c:pt idx="58">
                  <c:v>126</c:v>
                </c:pt>
                <c:pt idx="59">
                  <c:v>126</c:v>
                </c:pt>
                <c:pt idx="60">
                  <c:v>126</c:v>
                </c:pt>
                <c:pt idx="61">
                  <c:v>126</c:v>
                </c:pt>
                <c:pt idx="62">
                  <c:v>126</c:v>
                </c:pt>
                <c:pt idx="63">
                  <c:v>126</c:v>
                </c:pt>
                <c:pt idx="64">
                  <c:v>126</c:v>
                </c:pt>
                <c:pt idx="65">
                  <c:v>126</c:v>
                </c:pt>
                <c:pt idx="66">
                  <c:v>126</c:v>
                </c:pt>
                <c:pt idx="67">
                  <c:v>126</c:v>
                </c:pt>
                <c:pt idx="68">
                  <c:v>126</c:v>
                </c:pt>
                <c:pt idx="69">
                  <c:v>126</c:v>
                </c:pt>
                <c:pt idx="70">
                  <c:v>126</c:v>
                </c:pt>
                <c:pt idx="71">
                  <c:v>126</c:v>
                </c:pt>
                <c:pt idx="72">
                  <c:v>126</c:v>
                </c:pt>
                <c:pt idx="73">
                  <c:v>126</c:v>
                </c:pt>
                <c:pt idx="74">
                  <c:v>126</c:v>
                </c:pt>
                <c:pt idx="75">
                  <c:v>126</c:v>
                </c:pt>
                <c:pt idx="76">
                  <c:v>126</c:v>
                </c:pt>
                <c:pt idx="77">
                  <c:v>126</c:v>
                </c:pt>
                <c:pt idx="78">
                  <c:v>126</c:v>
                </c:pt>
                <c:pt idx="79">
                  <c:v>126</c:v>
                </c:pt>
                <c:pt idx="80">
                  <c:v>126</c:v>
                </c:pt>
                <c:pt idx="81">
                  <c:v>126</c:v>
                </c:pt>
                <c:pt idx="82">
                  <c:v>126</c:v>
                </c:pt>
                <c:pt idx="83">
                  <c:v>126</c:v>
                </c:pt>
                <c:pt idx="84">
                  <c:v>126</c:v>
                </c:pt>
                <c:pt idx="85">
                  <c:v>126</c:v>
                </c:pt>
                <c:pt idx="86">
                  <c:v>126</c:v>
                </c:pt>
                <c:pt idx="87">
                  <c:v>126</c:v>
                </c:pt>
                <c:pt idx="88">
                  <c:v>126</c:v>
                </c:pt>
                <c:pt idx="89">
                  <c:v>126</c:v>
                </c:pt>
                <c:pt idx="90">
                  <c:v>126</c:v>
                </c:pt>
                <c:pt idx="91">
                  <c:v>126</c:v>
                </c:pt>
                <c:pt idx="92">
                  <c:v>126</c:v>
                </c:pt>
                <c:pt idx="93">
                  <c:v>126</c:v>
                </c:pt>
                <c:pt idx="94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1F-4707-AA3B-2CEA4040E011}"/>
            </c:ext>
          </c:extLst>
        </c:ser>
        <c:ser>
          <c:idx val="3"/>
          <c:order val="3"/>
          <c:tx>
            <c:strRef>
              <c:f>'⚙ Dashboard Settings'!$R$5</c:f>
              <c:strCache>
                <c:ptCount val="1"/>
                <c:pt idx="0">
                  <c:v>Alert above (180)</c:v>
                </c:pt>
              </c:strCache>
            </c:strRef>
          </c:tx>
          <c:spPr>
            <a:ln w="19050">
              <a:solidFill>
                <a:srgbClr val="E63946"/>
              </a:solidFill>
              <a:prstDash val="dash"/>
              <a:round/>
            </a:ln>
          </c:spPr>
          <c:marker>
            <c:symbol val="none"/>
          </c:marker>
          <c:cat>
            <c:numRef>
              <c:f>'📅 Daily Vitals Log'!$B$4:$B$98</c:f>
              <c:numCache>
                <c:formatCode>dd\-mmm\-yyyy</c:formatCode>
                <c:ptCount val="95"/>
              </c:numCache>
            </c:numRef>
          </c:cat>
          <c:val>
            <c:numRef>
              <c:f>'⚙ Dashboard Settings'!$R$6:$R$100</c:f>
              <c:numCache>
                <c:formatCode>General</c:formatCode>
                <c:ptCount val="95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180</c:v>
                </c:pt>
                <c:pt idx="7">
                  <c:v>180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  <c:pt idx="12">
                  <c:v>180</c:v>
                </c:pt>
                <c:pt idx="13">
                  <c:v>180</c:v>
                </c:pt>
                <c:pt idx="14">
                  <c:v>180</c:v>
                </c:pt>
                <c:pt idx="15">
                  <c:v>180</c:v>
                </c:pt>
                <c:pt idx="16">
                  <c:v>180</c:v>
                </c:pt>
                <c:pt idx="17">
                  <c:v>180</c:v>
                </c:pt>
                <c:pt idx="18">
                  <c:v>180</c:v>
                </c:pt>
                <c:pt idx="19">
                  <c:v>180</c:v>
                </c:pt>
                <c:pt idx="20">
                  <c:v>180</c:v>
                </c:pt>
                <c:pt idx="21">
                  <c:v>180</c:v>
                </c:pt>
                <c:pt idx="22">
                  <c:v>180</c:v>
                </c:pt>
                <c:pt idx="23">
                  <c:v>180</c:v>
                </c:pt>
                <c:pt idx="24">
                  <c:v>180</c:v>
                </c:pt>
                <c:pt idx="25">
                  <c:v>180</c:v>
                </c:pt>
                <c:pt idx="26">
                  <c:v>180</c:v>
                </c:pt>
                <c:pt idx="27">
                  <c:v>180</c:v>
                </c:pt>
                <c:pt idx="28">
                  <c:v>180</c:v>
                </c:pt>
                <c:pt idx="29">
                  <c:v>180</c:v>
                </c:pt>
                <c:pt idx="30">
                  <c:v>180</c:v>
                </c:pt>
                <c:pt idx="31">
                  <c:v>180</c:v>
                </c:pt>
                <c:pt idx="32">
                  <c:v>180</c:v>
                </c:pt>
                <c:pt idx="33">
                  <c:v>180</c:v>
                </c:pt>
                <c:pt idx="34">
                  <c:v>180</c:v>
                </c:pt>
                <c:pt idx="35">
                  <c:v>180</c:v>
                </c:pt>
                <c:pt idx="36">
                  <c:v>180</c:v>
                </c:pt>
                <c:pt idx="37">
                  <c:v>180</c:v>
                </c:pt>
                <c:pt idx="38">
                  <c:v>180</c:v>
                </c:pt>
                <c:pt idx="39">
                  <c:v>180</c:v>
                </c:pt>
                <c:pt idx="40">
                  <c:v>180</c:v>
                </c:pt>
                <c:pt idx="41">
                  <c:v>180</c:v>
                </c:pt>
                <c:pt idx="42">
                  <c:v>180</c:v>
                </c:pt>
                <c:pt idx="43">
                  <c:v>180</c:v>
                </c:pt>
                <c:pt idx="44">
                  <c:v>180</c:v>
                </c:pt>
                <c:pt idx="45">
                  <c:v>180</c:v>
                </c:pt>
                <c:pt idx="46">
                  <c:v>180</c:v>
                </c:pt>
                <c:pt idx="47">
                  <c:v>180</c:v>
                </c:pt>
                <c:pt idx="48">
                  <c:v>180</c:v>
                </c:pt>
                <c:pt idx="49">
                  <c:v>180</c:v>
                </c:pt>
                <c:pt idx="50">
                  <c:v>180</c:v>
                </c:pt>
                <c:pt idx="51">
                  <c:v>180</c:v>
                </c:pt>
                <c:pt idx="52">
                  <c:v>180</c:v>
                </c:pt>
                <c:pt idx="53">
                  <c:v>180</c:v>
                </c:pt>
                <c:pt idx="54">
                  <c:v>180</c:v>
                </c:pt>
                <c:pt idx="55">
                  <c:v>180</c:v>
                </c:pt>
                <c:pt idx="56">
                  <c:v>180</c:v>
                </c:pt>
                <c:pt idx="57">
                  <c:v>180</c:v>
                </c:pt>
                <c:pt idx="58">
                  <c:v>180</c:v>
                </c:pt>
                <c:pt idx="59">
                  <c:v>180</c:v>
                </c:pt>
                <c:pt idx="60">
                  <c:v>180</c:v>
                </c:pt>
                <c:pt idx="61">
                  <c:v>180</c:v>
                </c:pt>
                <c:pt idx="62">
                  <c:v>180</c:v>
                </c:pt>
                <c:pt idx="63">
                  <c:v>180</c:v>
                </c:pt>
                <c:pt idx="64">
                  <c:v>180</c:v>
                </c:pt>
                <c:pt idx="65">
                  <c:v>180</c:v>
                </c:pt>
                <c:pt idx="66">
                  <c:v>180</c:v>
                </c:pt>
                <c:pt idx="67">
                  <c:v>180</c:v>
                </c:pt>
                <c:pt idx="68">
                  <c:v>180</c:v>
                </c:pt>
                <c:pt idx="69">
                  <c:v>180</c:v>
                </c:pt>
                <c:pt idx="70">
                  <c:v>180</c:v>
                </c:pt>
                <c:pt idx="71">
                  <c:v>180</c:v>
                </c:pt>
                <c:pt idx="72">
                  <c:v>180</c:v>
                </c:pt>
                <c:pt idx="73">
                  <c:v>180</c:v>
                </c:pt>
                <c:pt idx="74">
                  <c:v>180</c:v>
                </c:pt>
                <c:pt idx="75">
                  <c:v>180</c:v>
                </c:pt>
                <c:pt idx="76">
                  <c:v>180</c:v>
                </c:pt>
                <c:pt idx="77">
                  <c:v>180</c:v>
                </c:pt>
                <c:pt idx="78">
                  <c:v>180</c:v>
                </c:pt>
                <c:pt idx="79">
                  <c:v>180</c:v>
                </c:pt>
                <c:pt idx="80">
                  <c:v>180</c:v>
                </c:pt>
                <c:pt idx="81">
                  <c:v>180</c:v>
                </c:pt>
                <c:pt idx="82">
                  <c:v>180</c:v>
                </c:pt>
                <c:pt idx="83">
                  <c:v>180</c:v>
                </c:pt>
                <c:pt idx="84">
                  <c:v>180</c:v>
                </c:pt>
                <c:pt idx="85">
                  <c:v>180</c:v>
                </c:pt>
                <c:pt idx="86">
                  <c:v>180</c:v>
                </c:pt>
                <c:pt idx="87">
                  <c:v>180</c:v>
                </c:pt>
                <c:pt idx="88">
                  <c:v>180</c:v>
                </c:pt>
                <c:pt idx="89">
                  <c:v>180</c:v>
                </c:pt>
                <c:pt idx="90">
                  <c:v>180</c:v>
                </c:pt>
                <c:pt idx="91">
                  <c:v>180</c:v>
                </c:pt>
                <c:pt idx="92">
                  <c:v>180</c:v>
                </c:pt>
                <c:pt idx="93">
                  <c:v>180</c:v>
                </c:pt>
                <c:pt idx="94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1F-4707-AA3B-2CEA4040E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01"/>
        <c:axId val="50102"/>
      </c:lineChart>
      <c:catAx>
        <c:axId val="50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>
                    <a:solidFill>
                      <a:srgbClr val="000000"/>
                    </a:solidFill>
                    <a:latin typeface="Calibri"/>
                  </a:rPr>
                  <a:t>Date (weekly marks)</a:t>
                </a:r>
              </a:p>
            </c:rich>
          </c:tx>
          <c:overlay val="0"/>
        </c:title>
        <c:numFmt formatCode="d\-mmm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02"/>
        <c:crosses val="autoZero"/>
        <c:auto val="0"/>
        <c:lblAlgn val="ctr"/>
        <c:lblOffset val="100"/>
        <c:tickLblSkip val="7"/>
        <c:tickMarkSkip val="7"/>
        <c:noMultiLvlLbl val="1"/>
      </c:catAx>
      <c:valAx>
        <c:axId val="501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>
                    <a:solidFill>
                      <a:srgbClr val="000000"/>
                    </a:solidFill>
                    <a:latin typeface="Calibri"/>
                  </a:rPr>
                  <a:t>mg/dL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01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1000" b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2" name="Chart Creatinin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17</xdr:col>
      <xdr:colOff>0</xdr:colOff>
      <xdr:row>39</xdr:row>
      <xdr:rowOff>0</xdr:rowOff>
    </xdr:to>
    <xdr:graphicFrame macro="">
      <xdr:nvGraphicFramePr>
        <xdr:cNvPr id="3" name="Chart eGFR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17</xdr:col>
      <xdr:colOff>0</xdr:colOff>
      <xdr:row>53</xdr:row>
      <xdr:rowOff>0</xdr:rowOff>
    </xdr:to>
    <xdr:graphicFrame macro="">
      <xdr:nvGraphicFramePr>
        <xdr:cNvPr id="4" name="Chart Tacrolimus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89</xdr:row>
      <xdr:rowOff>0</xdr:rowOff>
    </xdr:from>
    <xdr:to>
      <xdr:col>17</xdr:col>
      <xdr:colOff>0</xdr:colOff>
      <xdr:row>106</xdr:row>
      <xdr:rowOff>0</xdr:rowOff>
    </xdr:to>
    <xdr:graphicFrame macro="">
      <xdr:nvGraphicFramePr>
        <xdr:cNvPr id="5" name="Chart Weigh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107</xdr:row>
      <xdr:rowOff>0</xdr:rowOff>
    </xdr:from>
    <xdr:to>
      <xdr:col>17</xdr:col>
      <xdr:colOff>0</xdr:colOff>
      <xdr:row>124</xdr:row>
      <xdr:rowOff>0</xdr:rowOff>
    </xdr:to>
    <xdr:graphicFrame macro="">
      <xdr:nvGraphicFramePr>
        <xdr:cNvPr id="6" name="Chart Urine Output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125</xdr:row>
      <xdr:rowOff>0</xdr:rowOff>
    </xdr:from>
    <xdr:to>
      <xdr:col>17</xdr:col>
      <xdr:colOff>0</xdr:colOff>
      <xdr:row>142</xdr:row>
      <xdr:rowOff>0</xdr:rowOff>
    </xdr:to>
    <xdr:graphicFrame macro="">
      <xdr:nvGraphicFramePr>
        <xdr:cNvPr id="7" name="Chart Blood Press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143</xdr:row>
      <xdr:rowOff>0</xdr:rowOff>
    </xdr:from>
    <xdr:to>
      <xdr:col>17</xdr:col>
      <xdr:colOff>0</xdr:colOff>
      <xdr:row>160</xdr:row>
      <xdr:rowOff>0</xdr:rowOff>
    </xdr:to>
    <xdr:graphicFrame macro="">
      <xdr:nvGraphicFramePr>
        <xdr:cNvPr id="8" name="Chart SpO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166</xdr:row>
      <xdr:rowOff>0</xdr:rowOff>
    </xdr:from>
    <xdr:to>
      <xdr:col>17</xdr:col>
      <xdr:colOff>0</xdr:colOff>
      <xdr:row>183</xdr:row>
      <xdr:rowOff>0</xdr:rowOff>
    </xdr:to>
    <xdr:graphicFrame macro="">
      <xdr:nvGraphicFramePr>
        <xdr:cNvPr id="9" name="Chart Blood Sugar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34C74-4015-4FA0-9965-C4BA1952297C}">
  <sheetPr>
    <tabColor rgb="FF4472C4"/>
    <pageSetUpPr fitToPage="1"/>
  </sheetPr>
  <dimension ref="A1:G51"/>
  <sheetViews>
    <sheetView showGridLines="0" zoomScaleNormal="100" workbookViewId="0">
      <selection activeCell="B2" sqref="B2:F2"/>
    </sheetView>
  </sheetViews>
  <sheetFormatPr defaultColWidth="0" defaultRowHeight="15" zeroHeight="1" x14ac:dyDescent="0.25"/>
  <cols>
    <col min="1" max="1" width="2" customWidth="1"/>
    <col min="2" max="2" width="6" customWidth="1"/>
    <col min="3" max="3" width="78" customWidth="1"/>
    <col min="4" max="4" width="3" customWidth="1"/>
    <col min="5" max="5" width="6" customWidth="1"/>
    <col min="6" max="6" width="69" customWidth="1"/>
    <col min="7" max="7" width="2" customWidth="1"/>
    <col min="8" max="16384" width="8.7109375" hidden="1"/>
  </cols>
  <sheetData>
    <row r="1" spans="2:6" ht="8.1" customHeight="1" x14ac:dyDescent="0.25"/>
    <row r="2" spans="2:6" ht="39.950000000000003" customHeight="1" x14ac:dyDescent="0.25">
      <c r="B2" s="116" t="s">
        <v>0</v>
      </c>
      <c r="C2" s="116"/>
      <c r="D2" s="116"/>
      <c r="E2" s="116"/>
      <c r="F2" s="116"/>
    </row>
    <row r="3" spans="2:6" ht="30" customHeight="1" x14ac:dyDescent="0.25">
      <c r="B3" s="117" t="s">
        <v>1</v>
      </c>
      <c r="C3" s="117"/>
      <c r="D3" s="117"/>
      <c r="E3" s="117"/>
      <c r="F3" s="117"/>
    </row>
    <row r="4" spans="2:6" ht="8.1" customHeight="1" x14ac:dyDescent="0.25"/>
    <row r="5" spans="2:6" ht="48" customHeight="1" x14ac:dyDescent="0.25">
      <c r="B5" s="118" t="s">
        <v>2</v>
      </c>
      <c r="C5" s="118"/>
      <c r="E5" s="118" t="s">
        <v>3</v>
      </c>
      <c r="F5" s="118"/>
    </row>
    <row r="6" spans="2:6" ht="20.100000000000001" customHeight="1" x14ac:dyDescent="0.25">
      <c r="B6" s="111" t="s">
        <v>4</v>
      </c>
      <c r="C6" s="111"/>
      <c r="E6" s="119" t="s">
        <v>5</v>
      </c>
      <c r="F6" s="119"/>
    </row>
    <row r="7" spans="2:6" ht="20.100000000000001" customHeight="1" x14ac:dyDescent="0.25">
      <c r="B7" s="112" t="s">
        <v>6</v>
      </c>
      <c r="C7" s="108" t="s">
        <v>7</v>
      </c>
      <c r="E7" s="114" t="s">
        <v>8</v>
      </c>
      <c r="F7" s="114"/>
    </row>
    <row r="8" spans="2:6" ht="20.100000000000001" customHeight="1" x14ac:dyDescent="0.25">
      <c r="B8" s="112"/>
      <c r="C8" s="108"/>
      <c r="E8" s="114"/>
      <c r="F8" s="114"/>
    </row>
    <row r="9" spans="2:6" ht="20.100000000000001" customHeight="1" x14ac:dyDescent="0.25">
      <c r="B9" s="112" t="s">
        <v>9</v>
      </c>
      <c r="C9" s="108" t="s">
        <v>10</v>
      </c>
      <c r="E9" s="108" t="s">
        <v>11</v>
      </c>
      <c r="F9" s="108"/>
    </row>
    <row r="10" spans="2:6" ht="20.100000000000001" customHeight="1" x14ac:dyDescent="0.25">
      <c r="B10" s="112"/>
      <c r="C10" s="108"/>
      <c r="E10" s="108"/>
      <c r="F10" s="108"/>
    </row>
    <row r="11" spans="2:6" ht="20.100000000000001" customHeight="1" x14ac:dyDescent="0.25">
      <c r="B11" s="112" t="s">
        <v>12</v>
      </c>
      <c r="C11" s="108" t="s">
        <v>13</v>
      </c>
      <c r="E11" s="108" t="s">
        <v>14</v>
      </c>
      <c r="F11" s="108"/>
    </row>
    <row r="12" spans="2:6" ht="20.100000000000001" customHeight="1" x14ac:dyDescent="0.25">
      <c r="B12" s="112"/>
      <c r="C12" s="108"/>
      <c r="E12" s="108"/>
      <c r="F12" s="108"/>
    </row>
    <row r="13" spans="2:6" ht="20.100000000000001" customHeight="1" x14ac:dyDescent="0.25">
      <c r="B13" s="112" t="s">
        <v>15</v>
      </c>
      <c r="C13" s="108" t="s">
        <v>16</v>
      </c>
      <c r="E13" s="108" t="s">
        <v>17</v>
      </c>
      <c r="F13" s="108"/>
    </row>
    <row r="14" spans="2:6" ht="20.100000000000001" customHeight="1" x14ac:dyDescent="0.25">
      <c r="B14" s="112"/>
      <c r="C14" s="108"/>
      <c r="E14" s="108"/>
      <c r="F14" s="108"/>
    </row>
    <row r="15" spans="2:6" ht="20.100000000000001" customHeight="1" x14ac:dyDescent="0.25">
      <c r="B15" s="112"/>
      <c r="C15" s="108"/>
      <c r="E15" s="108"/>
      <c r="F15" s="108"/>
    </row>
    <row r="16" spans="2:6" ht="20.100000000000001" customHeight="1" x14ac:dyDescent="0.25">
      <c r="B16" s="112"/>
      <c r="C16" s="108"/>
    </row>
    <row r="17" spans="2:6" ht="20.100000000000001" customHeight="1" x14ac:dyDescent="0.25">
      <c r="B17" s="112" t="s">
        <v>18</v>
      </c>
      <c r="C17" s="108" t="s">
        <v>19</v>
      </c>
      <c r="E17" s="111" t="s">
        <v>20</v>
      </c>
      <c r="F17" s="111"/>
    </row>
    <row r="18" spans="2:6" ht="20.100000000000001" customHeight="1" x14ac:dyDescent="0.25">
      <c r="B18" s="112"/>
      <c r="C18" s="108"/>
      <c r="E18" s="115" t="s">
        <v>6</v>
      </c>
      <c r="F18" s="108" t="s">
        <v>21</v>
      </c>
    </row>
    <row r="19" spans="2:6" ht="20.100000000000001" customHeight="1" x14ac:dyDescent="0.25">
      <c r="E19" s="115"/>
      <c r="F19" s="108"/>
    </row>
    <row r="20" spans="2:6" ht="20.100000000000001" customHeight="1" x14ac:dyDescent="0.25">
      <c r="B20" s="111" t="s">
        <v>22</v>
      </c>
      <c r="C20" s="111"/>
      <c r="E20" s="115" t="s">
        <v>9</v>
      </c>
      <c r="F20" s="108" t="s">
        <v>23</v>
      </c>
    </row>
    <row r="21" spans="2:6" ht="20.100000000000001" customHeight="1" x14ac:dyDescent="0.25">
      <c r="B21" s="41"/>
      <c r="C21" s="59" t="s">
        <v>24</v>
      </c>
      <c r="E21" s="115"/>
      <c r="F21" s="108"/>
    </row>
    <row r="22" spans="2:6" ht="20.100000000000001" customHeight="1" x14ac:dyDescent="0.25">
      <c r="B22" s="42"/>
      <c r="C22" s="59" t="s">
        <v>25</v>
      </c>
      <c r="E22" s="115" t="s">
        <v>12</v>
      </c>
      <c r="F22" s="108" t="s">
        <v>26</v>
      </c>
    </row>
    <row r="23" spans="2:6" ht="20.100000000000001" customHeight="1" x14ac:dyDescent="0.25">
      <c r="B23" s="43"/>
      <c r="C23" s="59" t="s">
        <v>27</v>
      </c>
      <c r="E23" s="115"/>
      <c r="F23" s="108"/>
    </row>
    <row r="24" spans="2:6" ht="20.100000000000001" customHeight="1" x14ac:dyDescent="0.25">
      <c r="E24" s="115" t="s">
        <v>15</v>
      </c>
      <c r="F24" s="108" t="s">
        <v>28</v>
      </c>
    </row>
    <row r="25" spans="2:6" ht="20.100000000000001" customHeight="1" x14ac:dyDescent="0.25">
      <c r="B25" s="113" t="s">
        <v>29</v>
      </c>
      <c r="C25" s="113"/>
      <c r="E25" s="115"/>
      <c r="F25" s="108"/>
    </row>
    <row r="26" spans="2:6" ht="20.100000000000001" customHeight="1" x14ac:dyDescent="0.25">
      <c r="B26" s="108" t="s">
        <v>30</v>
      </c>
      <c r="C26" s="108"/>
      <c r="E26" s="115" t="s">
        <v>18</v>
      </c>
      <c r="F26" s="108" t="s">
        <v>31</v>
      </c>
    </row>
    <row r="27" spans="2:6" ht="20.100000000000001" customHeight="1" x14ac:dyDescent="0.25">
      <c r="B27" s="108" t="s">
        <v>32</v>
      </c>
      <c r="C27" s="108"/>
      <c r="E27" s="115"/>
      <c r="F27" s="108"/>
    </row>
    <row r="28" spans="2:6" ht="20.100000000000001" customHeight="1" x14ac:dyDescent="0.25">
      <c r="B28" s="108" t="s">
        <v>33</v>
      </c>
      <c r="C28" s="108"/>
    </row>
    <row r="29" spans="2:6" ht="20.100000000000001" customHeight="1" x14ac:dyDescent="0.25">
      <c r="B29" s="108" t="s">
        <v>34</v>
      </c>
      <c r="C29" s="108"/>
      <c r="E29" s="111" t="s">
        <v>35</v>
      </c>
      <c r="F29" s="111"/>
    </row>
    <row r="30" spans="2:6" ht="20.100000000000001" customHeight="1" x14ac:dyDescent="0.25">
      <c r="B30" s="108" t="s">
        <v>36</v>
      </c>
      <c r="C30" s="108"/>
      <c r="E30" s="112" t="s">
        <v>37</v>
      </c>
      <c r="F30" s="108" t="s">
        <v>38</v>
      </c>
    </row>
    <row r="31" spans="2:6" ht="20.100000000000001" customHeight="1" x14ac:dyDescent="0.25">
      <c r="E31" s="112"/>
      <c r="F31" s="108"/>
    </row>
    <row r="32" spans="2:6" ht="20.100000000000001" customHeight="1" x14ac:dyDescent="0.25">
      <c r="B32" s="111" t="s">
        <v>39</v>
      </c>
      <c r="C32" s="111"/>
    </row>
    <row r="33" spans="2:6" ht="20.100000000000001" customHeight="1" x14ac:dyDescent="0.25">
      <c r="B33" s="44"/>
      <c r="C33" s="40" t="s">
        <v>40</v>
      </c>
      <c r="E33" s="113" t="s">
        <v>41</v>
      </c>
      <c r="F33" s="113"/>
    </row>
    <row r="34" spans="2:6" ht="20.100000000000001" customHeight="1" x14ac:dyDescent="0.25">
      <c r="B34" s="45" t="s">
        <v>42</v>
      </c>
      <c r="C34" s="40" t="s">
        <v>43</v>
      </c>
      <c r="E34" s="108" t="s">
        <v>44</v>
      </c>
      <c r="F34" s="108"/>
    </row>
    <row r="35" spans="2:6" ht="20.100000000000001" customHeight="1" x14ac:dyDescent="0.25">
      <c r="B35" s="46" t="s">
        <v>42</v>
      </c>
      <c r="C35" s="40" t="s">
        <v>45</v>
      </c>
      <c r="E35" s="108" t="s">
        <v>46</v>
      </c>
      <c r="F35" s="108"/>
    </row>
    <row r="36" spans="2:6" ht="20.100000000000001" customHeight="1" x14ac:dyDescent="0.25">
      <c r="B36" s="47"/>
      <c r="C36" s="40" t="s">
        <v>47</v>
      </c>
      <c r="E36" s="108" t="s">
        <v>48</v>
      </c>
      <c r="F36" s="108"/>
    </row>
    <row r="37" spans="2:6" ht="20.100000000000001" customHeight="1" x14ac:dyDescent="0.25">
      <c r="B37" s="48" t="s">
        <v>42</v>
      </c>
      <c r="C37" s="40" t="s">
        <v>49</v>
      </c>
      <c r="E37" s="109" t="s">
        <v>50</v>
      </c>
      <c r="F37" s="109"/>
    </row>
    <row r="38" spans="2:6" ht="20.100000000000001" customHeight="1" x14ac:dyDescent="0.25">
      <c r="B38" s="49"/>
      <c r="C38" s="40" t="s">
        <v>51</v>
      </c>
      <c r="E38" s="109"/>
      <c r="F38" s="109"/>
    </row>
    <row r="39" spans="2:6" ht="20.100000000000001" customHeight="1" x14ac:dyDescent="0.25">
      <c r="B39" s="50"/>
      <c r="C39" s="40" t="s">
        <v>52</v>
      </c>
    </row>
    <row r="40" spans="2:6" ht="20.100000000000001" customHeight="1" x14ac:dyDescent="0.25">
      <c r="B40" s="51"/>
      <c r="C40" s="40" t="s">
        <v>53</v>
      </c>
      <c r="E40" s="110" t="s">
        <v>54</v>
      </c>
      <c r="F40" s="110"/>
    </row>
    <row r="41" spans="2:6" ht="20.100000000000001" customHeight="1" x14ac:dyDescent="0.25">
      <c r="B41" s="52"/>
      <c r="C41" s="40" t="s">
        <v>55</v>
      </c>
      <c r="E41" s="107" t="s">
        <v>56</v>
      </c>
      <c r="F41" s="107"/>
    </row>
    <row r="42" spans="2:6" ht="20.100000000000001" customHeight="1" x14ac:dyDescent="0.25">
      <c r="B42" s="53"/>
      <c r="C42" s="40" t="s">
        <v>57</v>
      </c>
      <c r="E42" s="107"/>
      <c r="F42" s="107"/>
    </row>
    <row r="43" spans="2:6" ht="20.100000000000001" customHeight="1" x14ac:dyDescent="0.25">
      <c r="B43" s="54"/>
      <c r="C43" s="40" t="s">
        <v>58</v>
      </c>
      <c r="E43" s="107"/>
      <c r="F43" s="107"/>
    </row>
    <row r="44" spans="2:6" ht="8.1" customHeight="1" x14ac:dyDescent="0.25"/>
    <row r="45" spans="2:6" ht="14.1" customHeight="1" x14ac:dyDescent="0.25">
      <c r="B45" s="61"/>
      <c r="C45" s="61"/>
      <c r="D45" s="61"/>
      <c r="E45" s="61"/>
      <c r="F45" s="61"/>
    </row>
    <row r="46" spans="2:6" ht="15" customHeight="1" x14ac:dyDescent="0.25"/>
    <row r="47" spans="2:6" ht="15" customHeight="1" x14ac:dyDescent="0.25"/>
    <row r="48" spans="2:6" ht="15" customHeight="1" x14ac:dyDescent="0.25"/>
    <row r="49" ht="15" customHeight="1" x14ac:dyDescent="0.25"/>
    <row r="50" ht="15" customHeight="1" x14ac:dyDescent="0.25"/>
    <row r="51" ht="15" customHeight="1" x14ac:dyDescent="0.25"/>
  </sheetData>
  <mergeCells count="49">
    <mergeCell ref="B2:F2"/>
    <mergeCell ref="B3:F3"/>
    <mergeCell ref="B5:C5"/>
    <mergeCell ref="E5:F5"/>
    <mergeCell ref="B6:C6"/>
    <mergeCell ref="E6:F6"/>
    <mergeCell ref="B7:B8"/>
    <mergeCell ref="C7:C8"/>
    <mergeCell ref="B9:B10"/>
    <mergeCell ref="C9:C10"/>
    <mergeCell ref="B11:B12"/>
    <mergeCell ref="C11:C12"/>
    <mergeCell ref="B13:B16"/>
    <mergeCell ref="C13:C16"/>
    <mergeCell ref="B17:B18"/>
    <mergeCell ref="C17:C18"/>
    <mergeCell ref="B20:C20"/>
    <mergeCell ref="B25:C25"/>
    <mergeCell ref="B26:C26"/>
    <mergeCell ref="B27:C27"/>
    <mergeCell ref="B28:C28"/>
    <mergeCell ref="B29:C29"/>
    <mergeCell ref="B30:C30"/>
    <mergeCell ref="B32:C32"/>
    <mergeCell ref="E7:F8"/>
    <mergeCell ref="E9:F10"/>
    <mergeCell ref="E11:F12"/>
    <mergeCell ref="E13:F15"/>
    <mergeCell ref="E17:F17"/>
    <mergeCell ref="E18:E19"/>
    <mergeCell ref="F18:F19"/>
    <mergeCell ref="E20:E21"/>
    <mergeCell ref="F20:F21"/>
    <mergeCell ref="E22:E23"/>
    <mergeCell ref="F22:F23"/>
    <mergeCell ref="E24:E25"/>
    <mergeCell ref="F24:F25"/>
    <mergeCell ref="E26:E27"/>
    <mergeCell ref="F26:F27"/>
    <mergeCell ref="E29:F29"/>
    <mergeCell ref="E30:E31"/>
    <mergeCell ref="F30:F31"/>
    <mergeCell ref="E33:F33"/>
    <mergeCell ref="E41:F43"/>
    <mergeCell ref="E34:F34"/>
    <mergeCell ref="E35:F35"/>
    <mergeCell ref="E36:F36"/>
    <mergeCell ref="E37:F38"/>
    <mergeCell ref="E40:F40"/>
  </mergeCells>
  <pageMargins left="0.4" right="0.4" top="0.5" bottom="0.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C9DA-2337-4B77-9C84-35206700D844}">
  <sheetPr>
    <tabColor rgb="FF1B3A6B"/>
    <pageSetUpPr fitToPage="1"/>
  </sheetPr>
  <dimension ref="A1:G38"/>
  <sheetViews>
    <sheetView showGridLines="0" zoomScaleNormal="100" workbookViewId="0">
      <selection activeCell="C15" sqref="C15:F20"/>
    </sheetView>
  </sheetViews>
  <sheetFormatPr defaultColWidth="0" defaultRowHeight="15" zeroHeight="1" x14ac:dyDescent="0.25"/>
  <cols>
    <col min="1" max="1" width="3" customWidth="1"/>
    <col min="2" max="3" width="28" customWidth="1"/>
    <col min="4" max="4" width="3" customWidth="1"/>
    <col min="5" max="6" width="28" customWidth="1"/>
    <col min="7" max="7" width="8.7109375" customWidth="1"/>
    <col min="8" max="16384" width="8.7109375" hidden="1"/>
  </cols>
  <sheetData>
    <row r="1" spans="2:6" ht="39.75" customHeight="1" x14ac:dyDescent="0.25">
      <c r="B1" s="120" t="s">
        <v>59</v>
      </c>
      <c r="C1" s="121"/>
      <c r="D1" s="121"/>
      <c r="E1" s="121"/>
      <c r="F1" s="121"/>
    </row>
    <row r="2" spans="2:6" ht="19.5" customHeight="1" x14ac:dyDescent="0.25">
      <c r="B2" s="128" t="s">
        <v>60</v>
      </c>
      <c r="C2" s="121"/>
      <c r="D2" s="121"/>
      <c r="E2" s="121"/>
      <c r="F2" s="121"/>
    </row>
    <row r="3" spans="2:6" ht="18" customHeight="1" x14ac:dyDescent="0.25">
      <c r="B3" s="129" t="s">
        <v>61</v>
      </c>
      <c r="C3" s="121"/>
      <c r="D3" s="121"/>
      <c r="E3" s="121"/>
      <c r="F3" s="121"/>
    </row>
    <row r="4" spans="2:6" ht="21.75" customHeight="1" x14ac:dyDescent="0.25">
      <c r="B4" s="1" t="s">
        <v>62</v>
      </c>
      <c r="C4" s="18"/>
      <c r="E4" s="1" t="s">
        <v>63</v>
      </c>
      <c r="F4" s="18"/>
    </row>
    <row r="5" spans="2:6" ht="21.75" customHeight="1" x14ac:dyDescent="0.25">
      <c r="B5" s="1" t="s">
        <v>64</v>
      </c>
      <c r="C5" s="18"/>
      <c r="E5" s="1" t="s">
        <v>65</v>
      </c>
      <c r="F5" s="18"/>
    </row>
    <row r="6" spans="2:6" ht="21.75" customHeight="1" x14ac:dyDescent="0.25">
      <c r="B6" s="1" t="s">
        <v>66</v>
      </c>
      <c r="C6" s="18"/>
      <c r="E6" s="1" t="s">
        <v>67</v>
      </c>
      <c r="F6" s="18"/>
    </row>
    <row r="7" spans="2:6" ht="19.5" customHeight="1" x14ac:dyDescent="0.25">
      <c r="B7" s="122" t="s">
        <v>68</v>
      </c>
      <c r="C7" s="121"/>
      <c r="D7" s="121"/>
      <c r="E7" s="121"/>
      <c r="F7" s="121"/>
    </row>
    <row r="8" spans="2:6" ht="21.75" customHeight="1" x14ac:dyDescent="0.25">
      <c r="B8" s="1" t="s">
        <v>69</v>
      </c>
      <c r="C8" s="18"/>
      <c r="E8" s="1" t="s">
        <v>70</v>
      </c>
      <c r="F8" s="18"/>
    </row>
    <row r="9" spans="2:6" ht="21.75" customHeight="1" x14ac:dyDescent="0.25">
      <c r="B9" s="1" t="s">
        <v>71</v>
      </c>
      <c r="C9" s="19"/>
      <c r="E9" s="1" t="s">
        <v>72</v>
      </c>
      <c r="F9" s="18"/>
    </row>
    <row r="10" spans="2:6" ht="21.75" customHeight="1" x14ac:dyDescent="0.25">
      <c r="B10" s="1" t="s">
        <v>73</v>
      </c>
      <c r="C10" s="18"/>
      <c r="E10" s="1" t="s">
        <v>74</v>
      </c>
      <c r="F10" s="18"/>
    </row>
    <row r="11" spans="2:6" ht="21.75" customHeight="1" x14ac:dyDescent="0.25">
      <c r="B11" s="1" t="s">
        <v>75</v>
      </c>
      <c r="C11" s="18"/>
      <c r="E11" s="1" t="s">
        <v>76</v>
      </c>
      <c r="F11" s="19"/>
    </row>
    <row r="12" spans="2:6" ht="21.75" customHeight="1" x14ac:dyDescent="0.25">
      <c r="B12" s="1" t="s">
        <v>77</v>
      </c>
      <c r="C12" s="18"/>
      <c r="E12" s="1" t="s">
        <v>78</v>
      </c>
      <c r="F12" s="18"/>
    </row>
    <row r="13" spans="2:6" ht="21.75" customHeight="1" x14ac:dyDescent="0.25">
      <c r="B13" s="1" t="s">
        <v>79</v>
      </c>
      <c r="C13" s="18"/>
      <c r="E13" s="1"/>
      <c r="F13" s="18"/>
    </row>
    <row r="14" spans="2:6" ht="19.5" customHeight="1" x14ac:dyDescent="0.25">
      <c r="B14" s="122" t="s">
        <v>80</v>
      </c>
      <c r="C14" s="121"/>
      <c r="D14" s="121"/>
      <c r="E14" s="121"/>
      <c r="F14" s="121"/>
    </row>
    <row r="15" spans="2:6" ht="21.75" customHeight="1" x14ac:dyDescent="0.25">
      <c r="B15" s="1" t="s">
        <v>81</v>
      </c>
      <c r="C15" s="123"/>
      <c r="D15" s="124"/>
      <c r="E15" s="124"/>
      <c r="F15" s="124"/>
    </row>
    <row r="16" spans="2:6" ht="21.75" customHeight="1" x14ac:dyDescent="0.25">
      <c r="B16" s="1" t="s">
        <v>82</v>
      </c>
      <c r="C16" s="123"/>
      <c r="D16" s="124"/>
      <c r="E16" s="124"/>
      <c r="F16" s="124"/>
    </row>
    <row r="17" spans="2:6" ht="21.75" customHeight="1" x14ac:dyDescent="0.25">
      <c r="B17" s="1" t="s">
        <v>83</v>
      </c>
      <c r="C17" s="123"/>
      <c r="D17" s="124"/>
      <c r="E17" s="124"/>
      <c r="F17" s="124"/>
    </row>
    <row r="18" spans="2:6" ht="21.75" customHeight="1" x14ac:dyDescent="0.25">
      <c r="B18" s="1" t="s">
        <v>84</v>
      </c>
      <c r="C18" s="123"/>
      <c r="D18" s="124"/>
      <c r="E18" s="124"/>
      <c r="F18" s="124"/>
    </row>
    <row r="19" spans="2:6" ht="21.75" customHeight="1" x14ac:dyDescent="0.25">
      <c r="B19" s="1" t="s">
        <v>85</v>
      </c>
      <c r="C19" s="123" t="s">
        <v>86</v>
      </c>
      <c r="D19" s="124"/>
      <c r="E19" s="124"/>
      <c r="F19" s="124"/>
    </row>
    <row r="20" spans="2:6" ht="21.75" customHeight="1" x14ac:dyDescent="0.25">
      <c r="B20" s="1" t="s">
        <v>87</v>
      </c>
      <c r="C20" s="123" t="s">
        <v>86</v>
      </c>
      <c r="D20" s="124"/>
      <c r="E20" s="124"/>
      <c r="F20" s="124"/>
    </row>
    <row r="21" spans="2:6" ht="19.5" customHeight="1" x14ac:dyDescent="0.25">
      <c r="B21" s="122" t="s">
        <v>88</v>
      </c>
      <c r="C21" s="121"/>
      <c r="D21" s="121"/>
      <c r="E21" s="121"/>
      <c r="F21" s="121"/>
    </row>
    <row r="22" spans="2:6" ht="99.75" customHeight="1" x14ac:dyDescent="0.25">
      <c r="B22" s="125"/>
      <c r="C22" s="126"/>
      <c r="D22" s="126"/>
      <c r="E22" s="126"/>
      <c r="F22" s="126"/>
    </row>
    <row r="23" spans="2:6" x14ac:dyDescent="0.25">
      <c r="B23" s="127"/>
      <c r="C23" s="121"/>
      <c r="D23" s="121"/>
      <c r="E23" s="121"/>
      <c r="F23" s="121"/>
    </row>
    <row r="24" spans="2:6" x14ac:dyDescent="0.25">
      <c r="B24" s="127"/>
      <c r="C24" s="121"/>
      <c r="D24" s="121"/>
      <c r="E24" s="121"/>
      <c r="F24" s="121"/>
    </row>
    <row r="25" spans="2:6" x14ac:dyDescent="0.25">
      <c r="B25" s="127"/>
      <c r="C25" s="121"/>
      <c r="D25" s="121"/>
      <c r="E25" s="121"/>
      <c r="F25" s="121"/>
    </row>
    <row r="26" spans="2:6" x14ac:dyDescent="0.25">
      <c r="B26" s="127"/>
      <c r="C26" s="121"/>
      <c r="D26" s="121"/>
      <c r="E26" s="121"/>
      <c r="F26" s="121"/>
    </row>
    <row r="27" spans="2:6" x14ac:dyDescent="0.25">
      <c r="B27" s="127"/>
      <c r="C27" s="121"/>
      <c r="D27" s="121"/>
      <c r="E27" s="121"/>
      <c r="F27" s="121"/>
    </row>
    <row r="28" spans="2:6" x14ac:dyDescent="0.25">
      <c r="B28" s="127"/>
      <c r="C28" s="121"/>
      <c r="D28" s="121"/>
      <c r="E28" s="121"/>
      <c r="F28" s="121"/>
    </row>
    <row r="29" spans="2:6" ht="15" customHeight="1" x14ac:dyDescent="0.25"/>
    <row r="30" spans="2:6" ht="15" customHeight="1" x14ac:dyDescent="0.25"/>
    <row r="31" spans="2:6" ht="15" customHeight="1" x14ac:dyDescent="0.25"/>
    <row r="32" spans="2: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</sheetData>
  <mergeCells count="13">
    <mergeCell ref="B1:F1"/>
    <mergeCell ref="B14:F14"/>
    <mergeCell ref="C19:F19"/>
    <mergeCell ref="B22:F28"/>
    <mergeCell ref="B21:F21"/>
    <mergeCell ref="C18:F18"/>
    <mergeCell ref="B7:F7"/>
    <mergeCell ref="C17:F17"/>
    <mergeCell ref="B2:F2"/>
    <mergeCell ref="C20:F20"/>
    <mergeCell ref="B3:F3"/>
    <mergeCell ref="C16:F16"/>
    <mergeCell ref="C15:F15"/>
  </mergeCells>
  <pageMargins left="0.5" right="0.5" top="0.5" bottom="0.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7F264-43E1-41A0-856C-DBE9C082AA6F}">
  <sheetPr>
    <tabColor rgb="FF2D9E47"/>
    <pageSetUpPr fitToPage="1"/>
  </sheetPr>
  <dimension ref="B1:Q116"/>
  <sheetViews>
    <sheetView showGridLines="0" tabSelected="1" zoomScaleNormal="100" workbookViewId="0">
      <pane xSplit="2" ySplit="3" topLeftCell="C63" activePane="bottomRight" state="frozen"/>
      <selection pane="topRight" activeCell="C1" sqref="C1"/>
      <selection pane="bottomLeft" activeCell="A4" sqref="A4"/>
      <selection pane="bottomRight" activeCell="M73" sqref="M73"/>
    </sheetView>
  </sheetViews>
  <sheetFormatPr defaultColWidth="8.7109375" defaultRowHeight="15" x14ac:dyDescent="0.25"/>
  <cols>
    <col min="1" max="1" width="1" customWidth="1"/>
    <col min="2" max="2" width="11.42578125" customWidth="1"/>
    <col min="3" max="3" width="10.42578125" customWidth="1"/>
    <col min="4" max="4" width="11.42578125" customWidth="1"/>
    <col min="5" max="7" width="7.42578125" customWidth="1"/>
    <col min="8" max="8" width="8.42578125" customWidth="1"/>
    <col min="9" max="9" width="9" customWidth="1"/>
    <col min="10" max="10" width="9.42578125" customWidth="1"/>
    <col min="11" max="11" width="10" customWidth="1"/>
    <col min="12" max="12" width="9" customWidth="1"/>
    <col min="13" max="13" width="11.42578125" customWidth="1"/>
    <col min="14" max="14" width="8" customWidth="1"/>
    <col min="15" max="15" width="17" customWidth="1"/>
    <col min="16" max="17" width="9" customWidth="1"/>
  </cols>
  <sheetData>
    <row r="1" spans="2:17" ht="30" customHeight="1" x14ac:dyDescent="0.25">
      <c r="B1" s="131" t="s">
        <v>89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</row>
    <row r="2" spans="2:17" ht="16.5" customHeight="1" x14ac:dyDescent="0.25">
      <c r="B2" s="132" t="s">
        <v>90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</row>
    <row r="3" spans="2:17" ht="32.1" customHeight="1" x14ac:dyDescent="0.25">
      <c r="B3" s="89" t="s">
        <v>91</v>
      </c>
      <c r="C3" s="90" t="s">
        <v>92</v>
      </c>
      <c r="D3" s="84" t="s">
        <v>93</v>
      </c>
      <c r="E3" s="84" t="s">
        <v>94</v>
      </c>
      <c r="F3" s="84" t="s">
        <v>95</v>
      </c>
      <c r="G3" s="89" t="s">
        <v>96</v>
      </c>
      <c r="H3" s="90" t="s">
        <v>97</v>
      </c>
      <c r="I3" s="84" t="s">
        <v>98</v>
      </c>
      <c r="J3" s="84" t="s">
        <v>99</v>
      </c>
      <c r="K3" s="84" t="s">
        <v>100</v>
      </c>
      <c r="L3" s="89" t="s">
        <v>101</v>
      </c>
      <c r="M3" s="90" t="s">
        <v>102</v>
      </c>
      <c r="N3" s="84" t="s">
        <v>103</v>
      </c>
      <c r="O3" s="89" t="s">
        <v>104</v>
      </c>
      <c r="P3" s="90" t="s">
        <v>105</v>
      </c>
      <c r="Q3" s="89" t="s">
        <v>106</v>
      </c>
    </row>
    <row r="4" spans="2:17" ht="14.25" customHeight="1" x14ac:dyDescent="0.25">
      <c r="B4" s="91"/>
      <c r="C4" s="92"/>
      <c r="D4" s="87"/>
      <c r="E4" s="87"/>
      <c r="F4" s="87"/>
      <c r="G4" s="93"/>
      <c r="H4" s="94"/>
      <c r="I4" s="87"/>
      <c r="J4" s="88"/>
      <c r="K4" s="88"/>
      <c r="L4" s="93"/>
      <c r="M4" s="95"/>
      <c r="N4" s="88"/>
      <c r="O4" s="96"/>
      <c r="P4" s="97" t="str">
        <f>IF(OR(C4="",D4=""),"",IF(OR(C4&gt;'⚙ Dashboard Settings'!$I$9,C4&lt;'⚙ Dashboard Settings'!$I$10,D4&gt;'⚙ Dashboard Settings'!$I$11),"⚠ ALERT","OK"))</f>
        <v/>
      </c>
      <c r="Q4" s="98" t="str">
        <f t="shared" ref="Q4:Q35" si="0">IF(F4="","",IF(F4&lt;94,"🚨 LOW","OK"))</f>
        <v/>
      </c>
    </row>
    <row r="5" spans="2:17" ht="14.25" customHeight="1" x14ac:dyDescent="0.25">
      <c r="B5" s="91"/>
      <c r="C5" s="92"/>
      <c r="D5" s="87"/>
      <c r="E5" s="87"/>
      <c r="F5" s="87"/>
      <c r="G5" s="93"/>
      <c r="H5" s="94"/>
      <c r="I5" s="87"/>
      <c r="J5" s="88"/>
      <c r="K5" s="88"/>
      <c r="L5" s="93"/>
      <c r="M5" s="95"/>
      <c r="N5" s="88"/>
      <c r="O5" s="96"/>
      <c r="P5" s="97" t="str">
        <f>IF(OR(C5="",D5=""),"",IF(OR(C5&gt;'⚙ Dashboard Settings'!$I$9,C5&lt;'⚙ Dashboard Settings'!$I$10,D5&gt;'⚙ Dashboard Settings'!$I$11),"⚠ ALERT","OK"))</f>
        <v/>
      </c>
      <c r="Q5" s="98" t="str">
        <f t="shared" si="0"/>
        <v/>
      </c>
    </row>
    <row r="6" spans="2:17" ht="14.25" customHeight="1" x14ac:dyDescent="0.25">
      <c r="B6" s="91"/>
      <c r="C6" s="99"/>
      <c r="D6" s="85"/>
      <c r="E6" s="85"/>
      <c r="F6" s="85"/>
      <c r="G6" s="93"/>
      <c r="H6" s="100"/>
      <c r="I6" s="85"/>
      <c r="J6" s="86"/>
      <c r="K6" s="86"/>
      <c r="L6" s="93"/>
      <c r="M6" s="101"/>
      <c r="N6" s="88"/>
      <c r="O6" s="96"/>
      <c r="P6" s="102" t="str">
        <f>IF(OR(C6="",D6=""),"",IF(OR(C6&gt;'⚙ Dashboard Settings'!$I$9,C6&lt;'⚙ Dashboard Settings'!$I$10,D6&gt;'⚙ Dashboard Settings'!$I$11),"⚠ ALERT","OK"))</f>
        <v/>
      </c>
      <c r="Q6" s="103" t="str">
        <f t="shared" si="0"/>
        <v/>
      </c>
    </row>
    <row r="7" spans="2:17" ht="14.25" customHeight="1" x14ac:dyDescent="0.25">
      <c r="B7" s="91"/>
      <c r="C7" s="99"/>
      <c r="D7" s="85"/>
      <c r="E7" s="85"/>
      <c r="F7" s="85"/>
      <c r="G7" s="93"/>
      <c r="H7" s="100"/>
      <c r="I7" s="85"/>
      <c r="J7" s="86"/>
      <c r="K7" s="86"/>
      <c r="L7" s="93"/>
      <c r="M7" s="101"/>
      <c r="N7" s="88"/>
      <c r="O7" s="96"/>
      <c r="P7" s="102" t="str">
        <f>IF(OR(C7="",D7=""),"",IF(OR(C7&gt;'⚙ Dashboard Settings'!$I$9,C7&lt;'⚙ Dashboard Settings'!$I$10,D7&gt;'⚙ Dashboard Settings'!$I$11),"⚠ ALERT","OK"))</f>
        <v/>
      </c>
      <c r="Q7" s="103" t="str">
        <f t="shared" si="0"/>
        <v/>
      </c>
    </row>
    <row r="8" spans="2:17" ht="14.25" customHeight="1" x14ac:dyDescent="0.25">
      <c r="B8" s="91"/>
      <c r="C8" s="99"/>
      <c r="D8" s="85"/>
      <c r="E8" s="85"/>
      <c r="F8" s="85"/>
      <c r="G8" s="93"/>
      <c r="H8" s="100"/>
      <c r="I8" s="85"/>
      <c r="J8" s="86"/>
      <c r="K8" s="86"/>
      <c r="L8" s="93"/>
      <c r="M8" s="101"/>
      <c r="N8" s="88"/>
      <c r="O8" s="96"/>
      <c r="P8" s="102" t="str">
        <f>IF(OR(C8="",D8=""),"",IF(OR(C8&gt;'⚙ Dashboard Settings'!$I$9,C8&lt;'⚙ Dashboard Settings'!$I$10,D8&gt;'⚙ Dashboard Settings'!$I$11),"⚠ ALERT","OK"))</f>
        <v/>
      </c>
      <c r="Q8" s="103" t="str">
        <f t="shared" si="0"/>
        <v/>
      </c>
    </row>
    <row r="9" spans="2:17" ht="14.25" customHeight="1" x14ac:dyDescent="0.25">
      <c r="B9" s="91"/>
      <c r="C9" s="99"/>
      <c r="D9" s="85"/>
      <c r="E9" s="85"/>
      <c r="F9" s="85"/>
      <c r="G9" s="93"/>
      <c r="H9" s="100"/>
      <c r="I9" s="85"/>
      <c r="J9" s="86"/>
      <c r="K9" s="86"/>
      <c r="L9" s="93"/>
      <c r="M9" s="101"/>
      <c r="N9" s="88"/>
      <c r="O9" s="96"/>
      <c r="P9" s="102" t="str">
        <f>IF(OR(C9="",D9=""),"",IF(OR(C9&gt;'⚙ Dashboard Settings'!$I$9,C9&lt;'⚙ Dashboard Settings'!$I$10,D9&gt;'⚙ Dashboard Settings'!$I$11),"⚠ ALERT","OK"))</f>
        <v/>
      </c>
      <c r="Q9" s="103" t="str">
        <f t="shared" si="0"/>
        <v/>
      </c>
    </row>
    <row r="10" spans="2:17" ht="14.25" customHeight="1" x14ac:dyDescent="0.25">
      <c r="B10" s="91"/>
      <c r="C10" s="99"/>
      <c r="D10" s="85"/>
      <c r="E10" s="85"/>
      <c r="F10" s="85"/>
      <c r="G10" s="93"/>
      <c r="H10" s="100"/>
      <c r="I10" s="85"/>
      <c r="J10" s="86"/>
      <c r="K10" s="86"/>
      <c r="L10" s="93"/>
      <c r="M10" s="101"/>
      <c r="N10" s="88"/>
      <c r="O10" s="96"/>
      <c r="P10" s="102" t="str">
        <f>IF(OR(C10="",D10=""),"",IF(OR(C10&gt;'⚙ Dashboard Settings'!$I$9,C10&lt;'⚙ Dashboard Settings'!$I$10,D10&gt;'⚙ Dashboard Settings'!$I$11),"⚠ ALERT","OK"))</f>
        <v/>
      </c>
      <c r="Q10" s="103" t="str">
        <f t="shared" si="0"/>
        <v/>
      </c>
    </row>
    <row r="11" spans="2:17" ht="14.25" customHeight="1" x14ac:dyDescent="0.25">
      <c r="B11" s="91"/>
      <c r="C11" s="99"/>
      <c r="D11" s="85"/>
      <c r="E11" s="85"/>
      <c r="F11" s="85"/>
      <c r="G11" s="93"/>
      <c r="H11" s="100"/>
      <c r="I11" s="85"/>
      <c r="J11" s="86"/>
      <c r="K11" s="86"/>
      <c r="L11" s="93"/>
      <c r="M11" s="101"/>
      <c r="N11" s="88"/>
      <c r="O11" s="96"/>
      <c r="P11" s="102" t="str">
        <f>IF(OR(C11="",D11=""),"",IF(OR(C11&gt;'⚙ Dashboard Settings'!$I$9,C11&lt;'⚙ Dashboard Settings'!$I$10,D11&gt;'⚙ Dashboard Settings'!$I$11),"⚠ ALERT","OK"))</f>
        <v/>
      </c>
      <c r="Q11" s="103" t="str">
        <f t="shared" si="0"/>
        <v/>
      </c>
    </row>
    <row r="12" spans="2:17" ht="14.25" customHeight="1" x14ac:dyDescent="0.25">
      <c r="B12" s="91"/>
      <c r="C12" s="99"/>
      <c r="D12" s="85"/>
      <c r="E12" s="85"/>
      <c r="F12" s="85"/>
      <c r="G12" s="93"/>
      <c r="H12" s="100"/>
      <c r="I12" s="85"/>
      <c r="J12" s="86"/>
      <c r="K12" s="86"/>
      <c r="L12" s="93"/>
      <c r="M12" s="101"/>
      <c r="N12" s="88"/>
      <c r="O12" s="96"/>
      <c r="P12" s="102" t="str">
        <f>IF(OR(C12="",D12=""),"",IF(OR(C12&gt;'⚙ Dashboard Settings'!$I$9,C12&lt;'⚙ Dashboard Settings'!$I$10,D12&gt;'⚙ Dashboard Settings'!$I$11),"⚠ ALERT","OK"))</f>
        <v/>
      </c>
      <c r="Q12" s="103" t="str">
        <f t="shared" si="0"/>
        <v/>
      </c>
    </row>
    <row r="13" spans="2:17" ht="14.25" customHeight="1" x14ac:dyDescent="0.25">
      <c r="B13" s="91"/>
      <c r="C13" s="99"/>
      <c r="D13" s="85"/>
      <c r="E13" s="85"/>
      <c r="F13" s="85"/>
      <c r="G13" s="93"/>
      <c r="H13" s="100"/>
      <c r="I13" s="85"/>
      <c r="J13" s="86"/>
      <c r="K13" s="86"/>
      <c r="L13" s="93"/>
      <c r="M13" s="101"/>
      <c r="N13" s="88"/>
      <c r="O13" s="104"/>
      <c r="P13" s="102" t="str">
        <f>IF(OR(C13="",D13=""),"",IF(OR(C13&gt;'⚙ Dashboard Settings'!$I$9,C13&lt;'⚙ Dashboard Settings'!$I$10,D13&gt;'⚙ Dashboard Settings'!$I$11),"⚠ ALERT","OK"))</f>
        <v/>
      </c>
      <c r="Q13" s="103" t="str">
        <f t="shared" si="0"/>
        <v/>
      </c>
    </row>
    <row r="14" spans="2:17" ht="14.25" customHeight="1" x14ac:dyDescent="0.25">
      <c r="B14" s="91"/>
      <c r="C14" s="99"/>
      <c r="D14" s="85"/>
      <c r="E14" s="85"/>
      <c r="F14" s="85"/>
      <c r="G14" s="93"/>
      <c r="H14" s="100"/>
      <c r="I14" s="85"/>
      <c r="J14" s="86"/>
      <c r="K14" s="86"/>
      <c r="L14" s="93"/>
      <c r="M14" s="101"/>
      <c r="N14" s="88"/>
      <c r="O14" s="104"/>
      <c r="P14" s="102" t="str">
        <f>IF(OR(C14="",D14=""),"",IF(OR(C14&gt;'⚙ Dashboard Settings'!$I$9,C14&lt;'⚙ Dashboard Settings'!$I$10,D14&gt;'⚙ Dashboard Settings'!$I$11),"⚠ ALERT","OK"))</f>
        <v/>
      </c>
      <c r="Q14" s="103" t="str">
        <f t="shared" si="0"/>
        <v/>
      </c>
    </row>
    <row r="15" spans="2:17" ht="14.25" customHeight="1" x14ac:dyDescent="0.25">
      <c r="B15" s="91"/>
      <c r="C15" s="99"/>
      <c r="D15" s="85"/>
      <c r="E15" s="85"/>
      <c r="F15" s="85"/>
      <c r="G15" s="93"/>
      <c r="H15" s="100"/>
      <c r="I15" s="85"/>
      <c r="J15" s="86"/>
      <c r="K15" s="86"/>
      <c r="L15" s="93"/>
      <c r="M15" s="101"/>
      <c r="N15" s="88"/>
      <c r="O15" s="104"/>
      <c r="P15" s="102" t="str">
        <f>IF(OR(C15="",D15=""),"",IF(OR(C15&gt;'⚙ Dashboard Settings'!$I$9,C15&lt;'⚙ Dashboard Settings'!$I$10,D15&gt;'⚙ Dashboard Settings'!$I$11),"⚠ ALERT","OK"))</f>
        <v/>
      </c>
      <c r="Q15" s="103" t="str">
        <f t="shared" si="0"/>
        <v/>
      </c>
    </row>
    <row r="16" spans="2:17" ht="14.25" customHeight="1" x14ac:dyDescent="0.25">
      <c r="B16" s="91"/>
      <c r="C16" s="99"/>
      <c r="D16" s="85"/>
      <c r="E16" s="85"/>
      <c r="F16" s="85"/>
      <c r="G16" s="93"/>
      <c r="H16" s="100"/>
      <c r="I16" s="85"/>
      <c r="J16" s="86"/>
      <c r="K16" s="86"/>
      <c r="L16" s="93"/>
      <c r="M16" s="101"/>
      <c r="N16" s="88"/>
      <c r="O16" s="104"/>
      <c r="P16" s="102" t="str">
        <f>IF(OR(C16="",D16=""),"",IF(OR(C16&gt;'⚙ Dashboard Settings'!$I$9,C16&lt;'⚙ Dashboard Settings'!$I$10,D16&gt;'⚙ Dashboard Settings'!$I$11),"⚠ ALERT","OK"))</f>
        <v/>
      </c>
      <c r="Q16" s="103" t="str">
        <f t="shared" si="0"/>
        <v/>
      </c>
    </row>
    <row r="17" spans="2:17" ht="14.25" customHeight="1" x14ac:dyDescent="0.25">
      <c r="B17" s="91"/>
      <c r="C17" s="99"/>
      <c r="D17" s="85"/>
      <c r="E17" s="85"/>
      <c r="F17" s="85"/>
      <c r="G17" s="93"/>
      <c r="H17" s="100"/>
      <c r="I17" s="85"/>
      <c r="J17" s="86"/>
      <c r="K17" s="86"/>
      <c r="L17" s="93"/>
      <c r="M17" s="101"/>
      <c r="N17" s="88"/>
      <c r="O17" s="104"/>
      <c r="P17" s="102" t="str">
        <f>IF(OR(C17="",D17=""),"",IF(OR(C17&gt;'⚙ Dashboard Settings'!$I$9,C17&lt;'⚙ Dashboard Settings'!$I$10,D17&gt;'⚙ Dashboard Settings'!$I$11),"⚠ ALERT","OK"))</f>
        <v/>
      </c>
      <c r="Q17" s="103" t="str">
        <f t="shared" si="0"/>
        <v/>
      </c>
    </row>
    <row r="18" spans="2:17" ht="14.25" customHeight="1" x14ac:dyDescent="0.25">
      <c r="B18" s="91"/>
      <c r="C18" s="99"/>
      <c r="D18" s="85"/>
      <c r="E18" s="85"/>
      <c r="F18" s="85"/>
      <c r="G18" s="93"/>
      <c r="H18" s="100"/>
      <c r="I18" s="85"/>
      <c r="J18" s="86"/>
      <c r="K18" s="86"/>
      <c r="L18" s="93"/>
      <c r="M18" s="101"/>
      <c r="N18" s="88"/>
      <c r="O18" s="104"/>
      <c r="P18" s="102" t="str">
        <f>IF(OR(C18="",D18=""),"",IF(OR(C18&gt;'⚙ Dashboard Settings'!$I$9,C18&lt;'⚙ Dashboard Settings'!$I$10,D18&gt;'⚙ Dashboard Settings'!$I$11),"⚠ ALERT","OK"))</f>
        <v/>
      </c>
      <c r="Q18" s="103" t="str">
        <f t="shared" si="0"/>
        <v/>
      </c>
    </row>
    <row r="19" spans="2:17" ht="14.25" customHeight="1" x14ac:dyDescent="0.25">
      <c r="B19" s="91"/>
      <c r="C19" s="99"/>
      <c r="D19" s="85"/>
      <c r="E19" s="85"/>
      <c r="F19" s="85"/>
      <c r="G19" s="93"/>
      <c r="H19" s="100"/>
      <c r="I19" s="85"/>
      <c r="J19" s="86"/>
      <c r="K19" s="86"/>
      <c r="L19" s="93"/>
      <c r="M19" s="101"/>
      <c r="N19" s="88"/>
      <c r="O19" s="104"/>
      <c r="P19" s="102" t="str">
        <f>IF(OR(C19="",D19=""),"",IF(OR(C19&gt;'⚙ Dashboard Settings'!$I$9,C19&lt;'⚙ Dashboard Settings'!$I$10,D19&gt;'⚙ Dashboard Settings'!$I$11),"⚠ ALERT","OK"))</f>
        <v/>
      </c>
      <c r="Q19" s="103" t="str">
        <f t="shared" si="0"/>
        <v/>
      </c>
    </row>
    <row r="20" spans="2:17" ht="14.25" customHeight="1" x14ac:dyDescent="0.25">
      <c r="B20" s="91"/>
      <c r="C20" s="99"/>
      <c r="D20" s="85"/>
      <c r="E20" s="85"/>
      <c r="F20" s="85"/>
      <c r="G20" s="93"/>
      <c r="H20" s="100"/>
      <c r="I20" s="85"/>
      <c r="J20" s="86"/>
      <c r="K20" s="86"/>
      <c r="L20" s="93"/>
      <c r="M20" s="101"/>
      <c r="N20" s="88"/>
      <c r="O20" s="104"/>
      <c r="P20" s="102" t="str">
        <f>IF(OR(C20="",D20=""),"",IF(OR(C20&gt;'⚙ Dashboard Settings'!$I$9,C20&lt;'⚙ Dashboard Settings'!$I$10,D20&gt;'⚙ Dashboard Settings'!$I$11),"⚠ ALERT","OK"))</f>
        <v/>
      </c>
      <c r="Q20" s="103" t="str">
        <f t="shared" si="0"/>
        <v/>
      </c>
    </row>
    <row r="21" spans="2:17" ht="14.25" customHeight="1" x14ac:dyDescent="0.25">
      <c r="B21" s="91"/>
      <c r="C21" s="99"/>
      <c r="D21" s="85"/>
      <c r="E21" s="85"/>
      <c r="F21" s="85"/>
      <c r="G21" s="93"/>
      <c r="H21" s="100"/>
      <c r="I21" s="85"/>
      <c r="J21" s="86"/>
      <c r="K21" s="86"/>
      <c r="L21" s="93"/>
      <c r="M21" s="101"/>
      <c r="N21" s="88"/>
      <c r="O21" s="104"/>
      <c r="P21" s="102" t="str">
        <f>IF(OR(C21="",D21=""),"",IF(OR(C21&gt;'⚙ Dashboard Settings'!$I$9,C21&lt;'⚙ Dashboard Settings'!$I$10,D21&gt;'⚙ Dashboard Settings'!$I$11),"⚠ ALERT","OK"))</f>
        <v/>
      </c>
      <c r="Q21" s="103" t="str">
        <f t="shared" si="0"/>
        <v/>
      </c>
    </row>
    <row r="22" spans="2:17" ht="14.25" customHeight="1" x14ac:dyDescent="0.25">
      <c r="B22" s="91"/>
      <c r="C22" s="99"/>
      <c r="D22" s="85"/>
      <c r="E22" s="85"/>
      <c r="F22" s="85"/>
      <c r="G22" s="93"/>
      <c r="H22" s="100"/>
      <c r="I22" s="85"/>
      <c r="J22" s="86"/>
      <c r="K22" s="86"/>
      <c r="L22" s="93"/>
      <c r="M22" s="101"/>
      <c r="N22" s="88"/>
      <c r="O22" s="104"/>
      <c r="P22" s="102" t="str">
        <f>IF(OR(C22="",D22=""),"",IF(OR(C22&gt;'⚙ Dashboard Settings'!$I$9,C22&lt;'⚙ Dashboard Settings'!$I$10,D22&gt;'⚙ Dashboard Settings'!$I$11),"⚠ ALERT","OK"))</f>
        <v/>
      </c>
      <c r="Q22" s="103" t="str">
        <f t="shared" si="0"/>
        <v/>
      </c>
    </row>
    <row r="23" spans="2:17" ht="14.25" customHeight="1" x14ac:dyDescent="0.25">
      <c r="B23" s="91"/>
      <c r="C23" s="99"/>
      <c r="D23" s="85"/>
      <c r="E23" s="85"/>
      <c r="F23" s="85"/>
      <c r="G23" s="93"/>
      <c r="H23" s="100"/>
      <c r="I23" s="85"/>
      <c r="J23" s="86"/>
      <c r="K23" s="86"/>
      <c r="L23" s="93"/>
      <c r="M23" s="101"/>
      <c r="N23" s="88"/>
      <c r="O23" s="104"/>
      <c r="P23" s="102" t="str">
        <f>IF(OR(C23="",D23=""),"",IF(OR(C23&gt;'⚙ Dashboard Settings'!$I$9,C23&lt;'⚙ Dashboard Settings'!$I$10,D23&gt;'⚙ Dashboard Settings'!$I$11),"⚠ ALERT","OK"))</f>
        <v/>
      </c>
      <c r="Q23" s="103" t="str">
        <f t="shared" si="0"/>
        <v/>
      </c>
    </row>
    <row r="24" spans="2:17" ht="14.25" customHeight="1" x14ac:dyDescent="0.25">
      <c r="B24" s="91"/>
      <c r="C24" s="99"/>
      <c r="D24" s="85"/>
      <c r="E24" s="85"/>
      <c r="F24" s="85"/>
      <c r="G24" s="93"/>
      <c r="H24" s="100"/>
      <c r="I24" s="85"/>
      <c r="J24" s="86"/>
      <c r="K24" s="86"/>
      <c r="L24" s="93"/>
      <c r="M24" s="101"/>
      <c r="N24" s="88"/>
      <c r="O24" s="104"/>
      <c r="P24" s="102" t="str">
        <f>IF(OR(C24="",D24=""),"",IF(OR(C24&gt;'⚙ Dashboard Settings'!$I$9,C24&lt;'⚙ Dashboard Settings'!$I$10,D24&gt;'⚙ Dashboard Settings'!$I$11),"⚠ ALERT","OK"))</f>
        <v/>
      </c>
      <c r="Q24" s="103" t="str">
        <f t="shared" si="0"/>
        <v/>
      </c>
    </row>
    <row r="25" spans="2:17" ht="14.25" customHeight="1" x14ac:dyDescent="0.25">
      <c r="B25" s="91"/>
      <c r="C25" s="99"/>
      <c r="D25" s="85"/>
      <c r="E25" s="85"/>
      <c r="F25" s="85"/>
      <c r="G25" s="93"/>
      <c r="H25" s="100"/>
      <c r="I25" s="85"/>
      <c r="J25" s="86"/>
      <c r="K25" s="86"/>
      <c r="L25" s="93"/>
      <c r="M25" s="101"/>
      <c r="N25" s="88"/>
      <c r="O25" s="104"/>
      <c r="P25" s="102" t="str">
        <f>IF(OR(C25="",D25=""),"",IF(OR(C25&gt;'⚙ Dashboard Settings'!$I$9,C25&lt;'⚙ Dashboard Settings'!$I$10,D25&gt;'⚙ Dashboard Settings'!$I$11),"⚠ ALERT","OK"))</f>
        <v/>
      </c>
      <c r="Q25" s="103" t="str">
        <f t="shared" si="0"/>
        <v/>
      </c>
    </row>
    <row r="26" spans="2:17" ht="14.25" customHeight="1" x14ac:dyDescent="0.25">
      <c r="B26" s="91"/>
      <c r="C26" s="99"/>
      <c r="D26" s="85"/>
      <c r="E26" s="85"/>
      <c r="F26" s="85"/>
      <c r="G26" s="93"/>
      <c r="H26" s="100"/>
      <c r="I26" s="85"/>
      <c r="J26" s="86"/>
      <c r="K26" s="86"/>
      <c r="L26" s="93"/>
      <c r="M26" s="101"/>
      <c r="N26" s="88"/>
      <c r="O26" s="104"/>
      <c r="P26" s="102" t="str">
        <f>IF(OR(C26="",D26=""),"",IF(OR(C26&gt;'⚙ Dashboard Settings'!$I$9,C26&lt;'⚙ Dashboard Settings'!$I$10,D26&gt;'⚙ Dashboard Settings'!$I$11),"⚠ ALERT","OK"))</f>
        <v/>
      </c>
      <c r="Q26" s="103" t="str">
        <f t="shared" si="0"/>
        <v/>
      </c>
    </row>
    <row r="27" spans="2:17" ht="14.25" customHeight="1" x14ac:dyDescent="0.25">
      <c r="B27" s="91"/>
      <c r="C27" s="99"/>
      <c r="D27" s="85"/>
      <c r="E27" s="85"/>
      <c r="F27" s="85"/>
      <c r="G27" s="93"/>
      <c r="H27" s="100"/>
      <c r="I27" s="85"/>
      <c r="J27" s="86"/>
      <c r="K27" s="86"/>
      <c r="L27" s="93"/>
      <c r="M27" s="101"/>
      <c r="N27" s="88"/>
      <c r="O27" s="104"/>
      <c r="P27" s="102" t="str">
        <f>IF(OR(C27="",D27=""),"",IF(OR(C27&gt;'⚙ Dashboard Settings'!$I$9,C27&lt;'⚙ Dashboard Settings'!$I$10,D27&gt;'⚙ Dashboard Settings'!$I$11),"⚠ ALERT","OK"))</f>
        <v/>
      </c>
      <c r="Q27" s="103" t="str">
        <f t="shared" si="0"/>
        <v/>
      </c>
    </row>
    <row r="28" spans="2:17" ht="14.25" customHeight="1" x14ac:dyDescent="0.25">
      <c r="B28" s="91"/>
      <c r="C28" s="99"/>
      <c r="D28" s="85"/>
      <c r="E28" s="85"/>
      <c r="F28" s="85"/>
      <c r="G28" s="93"/>
      <c r="H28" s="100"/>
      <c r="I28" s="85"/>
      <c r="J28" s="86"/>
      <c r="K28" s="86"/>
      <c r="L28" s="93"/>
      <c r="M28" s="101"/>
      <c r="N28" s="88"/>
      <c r="O28" s="104"/>
      <c r="P28" s="102" t="str">
        <f>IF(OR(C28="",D28=""),"",IF(OR(C28&gt;'⚙ Dashboard Settings'!$I$9,C28&lt;'⚙ Dashboard Settings'!$I$10,D28&gt;'⚙ Dashboard Settings'!$I$11),"⚠ ALERT","OK"))</f>
        <v/>
      </c>
      <c r="Q28" s="103" t="str">
        <f t="shared" si="0"/>
        <v/>
      </c>
    </row>
    <row r="29" spans="2:17" ht="14.25" customHeight="1" x14ac:dyDescent="0.25">
      <c r="B29" s="91"/>
      <c r="C29" s="99"/>
      <c r="D29" s="85"/>
      <c r="E29" s="85"/>
      <c r="F29" s="85"/>
      <c r="G29" s="93"/>
      <c r="H29" s="100"/>
      <c r="I29" s="85"/>
      <c r="J29" s="86"/>
      <c r="K29" s="86"/>
      <c r="L29" s="93"/>
      <c r="M29" s="101"/>
      <c r="N29" s="88"/>
      <c r="O29" s="104"/>
      <c r="P29" s="102" t="str">
        <f>IF(OR(C29="",D29=""),"",IF(OR(C29&gt;'⚙ Dashboard Settings'!$I$9,C29&lt;'⚙ Dashboard Settings'!$I$10,D29&gt;'⚙ Dashboard Settings'!$I$11),"⚠ ALERT","OK"))</f>
        <v/>
      </c>
      <c r="Q29" s="103" t="str">
        <f t="shared" si="0"/>
        <v/>
      </c>
    </row>
    <row r="30" spans="2:17" ht="14.25" customHeight="1" x14ac:dyDescent="0.25">
      <c r="B30" s="91"/>
      <c r="C30" s="99"/>
      <c r="D30" s="85"/>
      <c r="E30" s="85"/>
      <c r="F30" s="85"/>
      <c r="G30" s="93"/>
      <c r="H30" s="100"/>
      <c r="I30" s="85"/>
      <c r="J30" s="86"/>
      <c r="K30" s="86"/>
      <c r="L30" s="93"/>
      <c r="M30" s="101"/>
      <c r="N30" s="88"/>
      <c r="O30" s="104"/>
      <c r="P30" s="102" t="str">
        <f>IF(OR(C30="",D30=""),"",IF(OR(C30&gt;'⚙ Dashboard Settings'!$I$9,C30&lt;'⚙ Dashboard Settings'!$I$10,D30&gt;'⚙ Dashboard Settings'!$I$11),"⚠ ALERT","OK"))</f>
        <v/>
      </c>
      <c r="Q30" s="103" t="str">
        <f t="shared" si="0"/>
        <v/>
      </c>
    </row>
    <row r="31" spans="2:17" ht="14.25" customHeight="1" x14ac:dyDescent="0.25">
      <c r="B31" s="91"/>
      <c r="C31" s="99"/>
      <c r="D31" s="85"/>
      <c r="E31" s="85"/>
      <c r="F31" s="85"/>
      <c r="G31" s="93"/>
      <c r="H31" s="100"/>
      <c r="I31" s="85"/>
      <c r="J31" s="86"/>
      <c r="K31" s="86"/>
      <c r="L31" s="93"/>
      <c r="M31" s="101"/>
      <c r="N31" s="88"/>
      <c r="O31" s="104"/>
      <c r="P31" s="102" t="str">
        <f>IF(OR(C31="",D31=""),"",IF(OR(C31&gt;'⚙ Dashboard Settings'!$I$9,C31&lt;'⚙ Dashboard Settings'!$I$10,D31&gt;'⚙ Dashboard Settings'!$I$11),"⚠ ALERT","OK"))</f>
        <v/>
      </c>
      <c r="Q31" s="103" t="str">
        <f t="shared" si="0"/>
        <v/>
      </c>
    </row>
    <row r="32" spans="2:17" ht="14.25" customHeight="1" x14ac:dyDescent="0.25">
      <c r="B32" s="91"/>
      <c r="C32" s="99"/>
      <c r="D32" s="85"/>
      <c r="E32" s="85"/>
      <c r="F32" s="85"/>
      <c r="G32" s="93"/>
      <c r="H32" s="100"/>
      <c r="I32" s="85"/>
      <c r="J32" s="86"/>
      <c r="K32" s="86"/>
      <c r="L32" s="93"/>
      <c r="M32" s="101"/>
      <c r="N32" s="88"/>
      <c r="O32" s="104"/>
      <c r="P32" s="102" t="str">
        <f>IF(OR(C32="",D32=""),"",IF(OR(C32&gt;'⚙ Dashboard Settings'!$I$9,C32&lt;'⚙ Dashboard Settings'!$I$10,D32&gt;'⚙ Dashboard Settings'!$I$11),"⚠ ALERT","OK"))</f>
        <v/>
      </c>
      <c r="Q32" s="103" t="str">
        <f t="shared" si="0"/>
        <v/>
      </c>
    </row>
    <row r="33" spans="2:17" ht="14.25" customHeight="1" x14ac:dyDescent="0.25">
      <c r="B33" s="91"/>
      <c r="C33" s="99"/>
      <c r="D33" s="85"/>
      <c r="E33" s="85"/>
      <c r="F33" s="85"/>
      <c r="G33" s="93"/>
      <c r="H33" s="100"/>
      <c r="I33" s="85"/>
      <c r="J33" s="86"/>
      <c r="K33" s="86"/>
      <c r="L33" s="93"/>
      <c r="M33" s="101"/>
      <c r="N33" s="88"/>
      <c r="O33" s="104"/>
      <c r="P33" s="102" t="str">
        <f>IF(OR(C33="",D33=""),"",IF(OR(C33&gt;'⚙ Dashboard Settings'!$I$9,C33&lt;'⚙ Dashboard Settings'!$I$10,D33&gt;'⚙ Dashboard Settings'!$I$11),"⚠ ALERT","OK"))</f>
        <v/>
      </c>
      <c r="Q33" s="103" t="str">
        <f t="shared" si="0"/>
        <v/>
      </c>
    </row>
    <row r="34" spans="2:17" ht="14.25" customHeight="1" x14ac:dyDescent="0.25">
      <c r="B34" s="91"/>
      <c r="C34" s="99"/>
      <c r="D34" s="85"/>
      <c r="E34" s="85"/>
      <c r="F34" s="85"/>
      <c r="G34" s="93"/>
      <c r="H34" s="100"/>
      <c r="I34" s="85"/>
      <c r="J34" s="86"/>
      <c r="K34" s="86"/>
      <c r="L34" s="93"/>
      <c r="M34" s="101"/>
      <c r="N34" s="88"/>
      <c r="O34" s="104"/>
      <c r="P34" s="102" t="str">
        <f>IF(OR(C34="",D34=""),"",IF(OR(C34&gt;'⚙ Dashboard Settings'!$I$9,C34&lt;'⚙ Dashboard Settings'!$I$10,D34&gt;'⚙ Dashboard Settings'!$I$11),"⚠ ALERT","OK"))</f>
        <v/>
      </c>
      <c r="Q34" s="103" t="str">
        <f t="shared" si="0"/>
        <v/>
      </c>
    </row>
    <row r="35" spans="2:17" ht="14.25" customHeight="1" x14ac:dyDescent="0.25">
      <c r="B35" s="91"/>
      <c r="C35" s="99"/>
      <c r="D35" s="85"/>
      <c r="E35" s="85"/>
      <c r="F35" s="85"/>
      <c r="G35" s="93"/>
      <c r="H35" s="100"/>
      <c r="I35" s="85"/>
      <c r="J35" s="86"/>
      <c r="K35" s="86"/>
      <c r="L35" s="93"/>
      <c r="M35" s="101"/>
      <c r="N35" s="88"/>
      <c r="O35" s="104"/>
      <c r="P35" s="102" t="str">
        <f>IF(OR(C35="",D35=""),"",IF(OR(C35&gt;'⚙ Dashboard Settings'!$I$9,C35&lt;'⚙ Dashboard Settings'!$I$10,D35&gt;'⚙ Dashboard Settings'!$I$11),"⚠ ALERT","OK"))</f>
        <v/>
      </c>
      <c r="Q35" s="103" t="str">
        <f t="shared" si="0"/>
        <v/>
      </c>
    </row>
    <row r="36" spans="2:17" ht="14.25" customHeight="1" x14ac:dyDescent="0.25">
      <c r="B36" s="91"/>
      <c r="C36" s="99"/>
      <c r="D36" s="85"/>
      <c r="E36" s="85"/>
      <c r="F36" s="85"/>
      <c r="G36" s="93"/>
      <c r="H36" s="100"/>
      <c r="I36" s="85"/>
      <c r="J36" s="86"/>
      <c r="K36" s="86"/>
      <c r="L36" s="93"/>
      <c r="M36" s="101"/>
      <c r="N36" s="88"/>
      <c r="O36" s="104"/>
      <c r="P36" s="102" t="str">
        <f>IF(OR(C36="",D36=""),"",IF(OR(C36&gt;'⚙ Dashboard Settings'!$I$9,C36&lt;'⚙ Dashboard Settings'!$I$10,D36&gt;'⚙ Dashboard Settings'!$I$11),"⚠ ALERT","OK"))</f>
        <v/>
      </c>
      <c r="Q36" s="103" t="str">
        <f t="shared" ref="Q36:Q67" si="1">IF(F36="","",IF(F36&lt;94,"🚨 LOW","OK"))</f>
        <v/>
      </c>
    </row>
    <row r="37" spans="2:17" ht="14.25" customHeight="1" x14ac:dyDescent="0.25">
      <c r="B37" s="91"/>
      <c r="C37" s="99"/>
      <c r="D37" s="85"/>
      <c r="E37" s="85"/>
      <c r="F37" s="85"/>
      <c r="G37" s="93"/>
      <c r="H37" s="100"/>
      <c r="I37" s="85"/>
      <c r="J37" s="86"/>
      <c r="K37" s="86"/>
      <c r="L37" s="93"/>
      <c r="M37" s="101"/>
      <c r="N37" s="88"/>
      <c r="O37" s="104"/>
      <c r="P37" s="102" t="str">
        <f>IF(OR(C37="",D37=""),"",IF(OR(C37&gt;'⚙ Dashboard Settings'!$I$9,C37&lt;'⚙ Dashboard Settings'!$I$10,D37&gt;'⚙ Dashboard Settings'!$I$11),"⚠ ALERT","OK"))</f>
        <v/>
      </c>
      <c r="Q37" s="103" t="str">
        <f t="shared" si="1"/>
        <v/>
      </c>
    </row>
    <row r="38" spans="2:17" ht="14.25" customHeight="1" x14ac:dyDescent="0.25">
      <c r="B38" s="91"/>
      <c r="C38" s="99"/>
      <c r="D38" s="85"/>
      <c r="E38" s="85"/>
      <c r="F38" s="85"/>
      <c r="G38" s="93"/>
      <c r="H38" s="100"/>
      <c r="I38" s="85"/>
      <c r="J38" s="86"/>
      <c r="K38" s="86"/>
      <c r="L38" s="93"/>
      <c r="M38" s="101"/>
      <c r="N38" s="88"/>
      <c r="O38" s="104"/>
      <c r="P38" s="102" t="str">
        <f>IF(OR(C38="",D38=""),"",IF(OR(C38&gt;'⚙ Dashboard Settings'!$I$9,C38&lt;'⚙ Dashboard Settings'!$I$10,D38&gt;'⚙ Dashboard Settings'!$I$11),"⚠ ALERT","OK"))</f>
        <v/>
      </c>
      <c r="Q38" s="103" t="str">
        <f t="shared" si="1"/>
        <v/>
      </c>
    </row>
    <row r="39" spans="2:17" ht="14.25" customHeight="1" x14ac:dyDescent="0.25">
      <c r="B39" s="91"/>
      <c r="C39" s="99"/>
      <c r="D39" s="85"/>
      <c r="E39" s="85"/>
      <c r="F39" s="85"/>
      <c r="G39" s="93"/>
      <c r="H39" s="100"/>
      <c r="I39" s="85"/>
      <c r="J39" s="86"/>
      <c r="K39" s="86"/>
      <c r="L39" s="93"/>
      <c r="M39" s="101"/>
      <c r="N39" s="88"/>
      <c r="O39" s="104"/>
      <c r="P39" s="102" t="str">
        <f>IF(OR(C39="",D39=""),"",IF(OR(C39&gt;'⚙ Dashboard Settings'!$I$9,C39&lt;'⚙ Dashboard Settings'!$I$10,D39&gt;'⚙ Dashboard Settings'!$I$11),"⚠ ALERT","OK"))</f>
        <v/>
      </c>
      <c r="Q39" s="103" t="str">
        <f t="shared" si="1"/>
        <v/>
      </c>
    </row>
    <row r="40" spans="2:17" ht="14.25" customHeight="1" x14ac:dyDescent="0.25">
      <c r="B40" s="91"/>
      <c r="C40" s="99"/>
      <c r="D40" s="85"/>
      <c r="E40" s="85"/>
      <c r="F40" s="85"/>
      <c r="G40" s="93"/>
      <c r="H40" s="100"/>
      <c r="I40" s="85"/>
      <c r="J40" s="86"/>
      <c r="K40" s="86"/>
      <c r="L40" s="93"/>
      <c r="M40" s="101"/>
      <c r="N40" s="88"/>
      <c r="O40" s="104"/>
      <c r="P40" s="102" t="str">
        <f>IF(OR(C40="",D40=""),"",IF(OR(C40&gt;'⚙ Dashboard Settings'!$I$9,C40&lt;'⚙ Dashboard Settings'!$I$10,D40&gt;'⚙ Dashboard Settings'!$I$11),"⚠ ALERT","OK"))</f>
        <v/>
      </c>
      <c r="Q40" s="103" t="str">
        <f t="shared" si="1"/>
        <v/>
      </c>
    </row>
    <row r="41" spans="2:17" ht="14.25" customHeight="1" x14ac:dyDescent="0.25">
      <c r="B41" s="91"/>
      <c r="C41" s="99"/>
      <c r="D41" s="85"/>
      <c r="E41" s="85"/>
      <c r="F41" s="85"/>
      <c r="G41" s="93"/>
      <c r="H41" s="100"/>
      <c r="I41" s="85"/>
      <c r="J41" s="86"/>
      <c r="K41" s="86"/>
      <c r="L41" s="93"/>
      <c r="M41" s="101"/>
      <c r="N41" s="88"/>
      <c r="O41" s="104"/>
      <c r="P41" s="102" t="str">
        <f>IF(OR(C41="",D41=""),"",IF(OR(C41&gt;'⚙ Dashboard Settings'!$I$9,C41&lt;'⚙ Dashboard Settings'!$I$10,D41&gt;'⚙ Dashboard Settings'!$I$11),"⚠ ALERT","OK"))</f>
        <v/>
      </c>
      <c r="Q41" s="103" t="str">
        <f t="shared" si="1"/>
        <v/>
      </c>
    </row>
    <row r="42" spans="2:17" ht="14.25" customHeight="1" x14ac:dyDescent="0.25">
      <c r="B42" s="91"/>
      <c r="C42" s="99"/>
      <c r="D42" s="85"/>
      <c r="E42" s="85"/>
      <c r="F42" s="85"/>
      <c r="G42" s="93"/>
      <c r="H42" s="100"/>
      <c r="I42" s="85"/>
      <c r="J42" s="86"/>
      <c r="K42" s="86"/>
      <c r="L42" s="93"/>
      <c r="M42" s="101"/>
      <c r="N42" s="88"/>
      <c r="O42" s="104"/>
      <c r="P42" s="102" t="str">
        <f>IF(OR(C42="",D42=""),"",IF(OR(C42&gt;'⚙ Dashboard Settings'!$I$9,C42&lt;'⚙ Dashboard Settings'!$I$10,D42&gt;'⚙ Dashboard Settings'!$I$11),"⚠ ALERT","OK"))</f>
        <v/>
      </c>
      <c r="Q42" s="103" t="str">
        <f t="shared" si="1"/>
        <v/>
      </c>
    </row>
    <row r="43" spans="2:17" ht="14.25" customHeight="1" x14ac:dyDescent="0.25">
      <c r="B43" s="91"/>
      <c r="C43" s="99"/>
      <c r="D43" s="85"/>
      <c r="E43" s="85"/>
      <c r="F43" s="85"/>
      <c r="G43" s="93"/>
      <c r="H43" s="100"/>
      <c r="I43" s="85"/>
      <c r="J43" s="86"/>
      <c r="K43" s="86"/>
      <c r="L43" s="93"/>
      <c r="M43" s="101"/>
      <c r="N43" s="88"/>
      <c r="O43" s="104"/>
      <c r="P43" s="102" t="str">
        <f>IF(OR(C43="",D43=""),"",IF(OR(C43&gt;'⚙ Dashboard Settings'!$I$9,C43&lt;'⚙ Dashboard Settings'!$I$10,D43&gt;'⚙ Dashboard Settings'!$I$11),"⚠ ALERT","OK"))</f>
        <v/>
      </c>
      <c r="Q43" s="103" t="str">
        <f t="shared" si="1"/>
        <v/>
      </c>
    </row>
    <row r="44" spans="2:17" ht="14.25" customHeight="1" x14ac:dyDescent="0.25">
      <c r="B44" s="91"/>
      <c r="C44" s="99"/>
      <c r="D44" s="85"/>
      <c r="E44" s="85"/>
      <c r="F44" s="85"/>
      <c r="G44" s="93"/>
      <c r="H44" s="100"/>
      <c r="I44" s="85"/>
      <c r="J44" s="86"/>
      <c r="K44" s="86"/>
      <c r="L44" s="93"/>
      <c r="M44" s="101"/>
      <c r="N44" s="88"/>
      <c r="O44" s="104"/>
      <c r="P44" s="102" t="str">
        <f>IF(OR(C44="",D44=""),"",IF(OR(C44&gt;'⚙ Dashboard Settings'!$I$9,C44&lt;'⚙ Dashboard Settings'!$I$10,D44&gt;'⚙ Dashboard Settings'!$I$11),"⚠ ALERT","OK"))</f>
        <v/>
      </c>
      <c r="Q44" s="103" t="str">
        <f t="shared" si="1"/>
        <v/>
      </c>
    </row>
    <row r="45" spans="2:17" ht="14.25" customHeight="1" x14ac:dyDescent="0.25">
      <c r="B45" s="91"/>
      <c r="C45" s="99"/>
      <c r="D45" s="85"/>
      <c r="E45" s="85"/>
      <c r="F45" s="85"/>
      <c r="G45" s="93"/>
      <c r="H45" s="100"/>
      <c r="I45" s="85"/>
      <c r="J45" s="86"/>
      <c r="K45" s="86"/>
      <c r="L45" s="93"/>
      <c r="M45" s="101"/>
      <c r="N45" s="88"/>
      <c r="O45" s="104"/>
      <c r="P45" s="102" t="str">
        <f>IF(OR(C45="",D45=""),"",IF(OR(C45&gt;'⚙ Dashboard Settings'!$I$9,C45&lt;'⚙ Dashboard Settings'!$I$10,D45&gt;'⚙ Dashboard Settings'!$I$11),"⚠ ALERT","OK"))</f>
        <v/>
      </c>
      <c r="Q45" s="103" t="str">
        <f t="shared" si="1"/>
        <v/>
      </c>
    </row>
    <row r="46" spans="2:17" ht="14.25" customHeight="1" x14ac:dyDescent="0.25">
      <c r="B46" s="91"/>
      <c r="C46" s="99"/>
      <c r="D46" s="85"/>
      <c r="E46" s="85"/>
      <c r="F46" s="85"/>
      <c r="G46" s="93"/>
      <c r="H46" s="100"/>
      <c r="I46" s="85"/>
      <c r="J46" s="86"/>
      <c r="K46" s="86"/>
      <c r="L46" s="93"/>
      <c r="M46" s="101"/>
      <c r="N46" s="88"/>
      <c r="O46" s="104"/>
      <c r="P46" s="102" t="str">
        <f>IF(OR(C46="",D46=""),"",IF(OR(C46&gt;'⚙ Dashboard Settings'!$I$9,C46&lt;'⚙ Dashboard Settings'!$I$10,D46&gt;'⚙ Dashboard Settings'!$I$11),"⚠ ALERT","OK"))</f>
        <v/>
      </c>
      <c r="Q46" s="103" t="str">
        <f t="shared" si="1"/>
        <v/>
      </c>
    </row>
    <row r="47" spans="2:17" ht="14.25" customHeight="1" x14ac:dyDescent="0.25">
      <c r="B47" s="91"/>
      <c r="C47" s="99"/>
      <c r="D47" s="85"/>
      <c r="E47" s="85"/>
      <c r="F47" s="85"/>
      <c r="G47" s="93"/>
      <c r="H47" s="100"/>
      <c r="I47" s="85"/>
      <c r="J47" s="86"/>
      <c r="K47" s="86"/>
      <c r="L47" s="93"/>
      <c r="M47" s="101"/>
      <c r="N47" s="88"/>
      <c r="O47" s="104"/>
      <c r="P47" s="102" t="str">
        <f>IF(OR(C47="",D47=""),"",IF(OR(C47&gt;'⚙ Dashboard Settings'!$I$9,C47&lt;'⚙ Dashboard Settings'!$I$10,D47&gt;'⚙ Dashboard Settings'!$I$11),"⚠ ALERT","OK"))</f>
        <v/>
      </c>
      <c r="Q47" s="103" t="str">
        <f t="shared" si="1"/>
        <v/>
      </c>
    </row>
    <row r="48" spans="2:17" ht="14.25" customHeight="1" x14ac:dyDescent="0.25">
      <c r="B48" s="91"/>
      <c r="C48" s="99"/>
      <c r="D48" s="85"/>
      <c r="E48" s="85"/>
      <c r="F48" s="85"/>
      <c r="G48" s="93"/>
      <c r="H48" s="100"/>
      <c r="I48" s="85"/>
      <c r="J48" s="86"/>
      <c r="K48" s="86"/>
      <c r="L48" s="93"/>
      <c r="M48" s="101"/>
      <c r="N48" s="88"/>
      <c r="O48" s="104"/>
      <c r="P48" s="102" t="str">
        <f>IF(OR(C48="",D48=""),"",IF(OR(C48&gt;'⚙ Dashboard Settings'!$I$9,C48&lt;'⚙ Dashboard Settings'!$I$10,D48&gt;'⚙ Dashboard Settings'!$I$11),"⚠ ALERT","OK"))</f>
        <v/>
      </c>
      <c r="Q48" s="103" t="str">
        <f t="shared" si="1"/>
        <v/>
      </c>
    </row>
    <row r="49" spans="2:17" ht="14.25" customHeight="1" x14ac:dyDescent="0.25">
      <c r="B49" s="91"/>
      <c r="C49" s="99"/>
      <c r="D49" s="85"/>
      <c r="E49" s="85"/>
      <c r="F49" s="85"/>
      <c r="G49" s="93"/>
      <c r="H49" s="100"/>
      <c r="I49" s="85"/>
      <c r="J49" s="86"/>
      <c r="K49" s="86"/>
      <c r="L49" s="93"/>
      <c r="M49" s="101"/>
      <c r="N49" s="88"/>
      <c r="O49" s="104"/>
      <c r="P49" s="102" t="str">
        <f>IF(OR(C49="",D49=""),"",IF(OR(C49&gt;'⚙ Dashboard Settings'!$I$9,C49&lt;'⚙ Dashboard Settings'!$I$10,D49&gt;'⚙ Dashboard Settings'!$I$11),"⚠ ALERT","OK"))</f>
        <v/>
      </c>
      <c r="Q49" s="103" t="str">
        <f t="shared" si="1"/>
        <v/>
      </c>
    </row>
    <row r="50" spans="2:17" ht="14.25" customHeight="1" x14ac:dyDescent="0.25">
      <c r="B50" s="91"/>
      <c r="C50" s="99"/>
      <c r="D50" s="85"/>
      <c r="E50" s="85"/>
      <c r="F50" s="85"/>
      <c r="G50" s="93"/>
      <c r="H50" s="100"/>
      <c r="I50" s="85"/>
      <c r="J50" s="86"/>
      <c r="K50" s="86"/>
      <c r="L50" s="93"/>
      <c r="M50" s="101"/>
      <c r="N50" s="88"/>
      <c r="O50" s="104"/>
      <c r="P50" s="102" t="str">
        <f>IF(OR(C50="",D50=""),"",IF(OR(C50&gt;'⚙ Dashboard Settings'!$I$9,C50&lt;'⚙ Dashboard Settings'!$I$10,D50&gt;'⚙ Dashboard Settings'!$I$11),"⚠ ALERT","OK"))</f>
        <v/>
      </c>
      <c r="Q50" s="103" t="str">
        <f t="shared" si="1"/>
        <v/>
      </c>
    </row>
    <row r="51" spans="2:17" ht="14.25" customHeight="1" x14ac:dyDescent="0.25">
      <c r="B51" s="91"/>
      <c r="C51" s="99"/>
      <c r="D51" s="85"/>
      <c r="E51" s="85"/>
      <c r="F51" s="85"/>
      <c r="H51" s="100"/>
      <c r="I51" s="85"/>
      <c r="J51" s="86"/>
      <c r="K51" s="86"/>
      <c r="L51" s="93"/>
      <c r="M51" s="101"/>
      <c r="N51" s="88"/>
      <c r="O51" s="104"/>
      <c r="P51" s="102" t="str">
        <f>IF(OR(C51="",D51=""),"",IF(OR(C51&gt;'⚙ Dashboard Settings'!$I$9,C51&lt;'⚙ Dashboard Settings'!$I$10,D51&gt;'⚙ Dashboard Settings'!$I$11),"⚠ ALERT","OK"))</f>
        <v/>
      </c>
      <c r="Q51" s="103" t="str">
        <f t="shared" si="1"/>
        <v/>
      </c>
    </row>
    <row r="52" spans="2:17" ht="14.25" customHeight="1" x14ac:dyDescent="0.25">
      <c r="B52" s="91"/>
      <c r="C52" s="99"/>
      <c r="D52" s="85"/>
      <c r="E52" s="85"/>
      <c r="F52" s="85"/>
      <c r="G52" s="93"/>
      <c r="H52" s="100"/>
      <c r="I52" s="85"/>
      <c r="J52" s="86"/>
      <c r="K52" s="86"/>
      <c r="L52" s="93"/>
      <c r="M52" s="101"/>
      <c r="N52" s="88"/>
      <c r="O52" s="104"/>
      <c r="P52" s="102" t="str">
        <f>IF(OR(C52="",D52=""),"",IF(OR(C52&gt;'⚙ Dashboard Settings'!$I$9,C52&lt;'⚙ Dashboard Settings'!$I$10,D52&gt;'⚙ Dashboard Settings'!$I$11),"⚠ ALERT","OK"))</f>
        <v/>
      </c>
      <c r="Q52" s="103" t="str">
        <f t="shared" si="1"/>
        <v/>
      </c>
    </row>
    <row r="53" spans="2:17" ht="14.25" customHeight="1" x14ac:dyDescent="0.25">
      <c r="B53" s="91"/>
      <c r="C53" s="99"/>
      <c r="D53" s="85"/>
      <c r="E53" s="85"/>
      <c r="F53" s="85"/>
      <c r="G53" s="93"/>
      <c r="H53" s="100"/>
      <c r="I53" s="85"/>
      <c r="J53" s="86"/>
      <c r="K53" s="86"/>
      <c r="L53" s="93"/>
      <c r="M53" s="101"/>
      <c r="N53" s="88"/>
      <c r="O53" s="104"/>
      <c r="P53" s="102" t="str">
        <f>IF(OR(C53="",D53=""),"",IF(OR(C53&gt;'⚙ Dashboard Settings'!$I$9,C53&lt;'⚙ Dashboard Settings'!$I$10,D53&gt;'⚙ Dashboard Settings'!$I$11),"⚠ ALERT","OK"))</f>
        <v/>
      </c>
      <c r="Q53" s="103" t="str">
        <f t="shared" si="1"/>
        <v/>
      </c>
    </row>
    <row r="54" spans="2:17" ht="14.25" customHeight="1" x14ac:dyDescent="0.25">
      <c r="B54" s="91"/>
      <c r="C54" s="99"/>
      <c r="D54" s="85"/>
      <c r="E54" s="85"/>
      <c r="F54" s="85"/>
      <c r="G54" s="93"/>
      <c r="H54" s="100"/>
      <c r="I54" s="85"/>
      <c r="J54" s="86"/>
      <c r="K54" s="86"/>
      <c r="L54" s="93"/>
      <c r="M54" s="101"/>
      <c r="N54" s="88"/>
      <c r="O54" s="104"/>
      <c r="P54" s="102" t="str">
        <f>IF(OR(C54="",D54=""),"",IF(OR(C54&gt;'⚙ Dashboard Settings'!$I$9,C54&lt;'⚙ Dashboard Settings'!$I$10,D54&gt;'⚙ Dashboard Settings'!$I$11),"⚠ ALERT","OK"))</f>
        <v/>
      </c>
      <c r="Q54" s="103" t="str">
        <f t="shared" si="1"/>
        <v/>
      </c>
    </row>
    <row r="55" spans="2:17" ht="14.25" customHeight="1" x14ac:dyDescent="0.25">
      <c r="B55" s="91"/>
      <c r="C55" s="99"/>
      <c r="D55" s="85"/>
      <c r="E55" s="85"/>
      <c r="F55" s="85"/>
      <c r="G55" s="93"/>
      <c r="H55" s="100"/>
      <c r="I55" s="85"/>
      <c r="J55" s="86"/>
      <c r="K55" s="86"/>
      <c r="L55" s="93"/>
      <c r="M55" s="101"/>
      <c r="N55" s="88"/>
      <c r="O55" s="104"/>
      <c r="P55" s="102" t="str">
        <f>IF(OR(C55="",D55=""),"",IF(OR(C55&gt;'⚙ Dashboard Settings'!$I$9,C55&lt;'⚙ Dashboard Settings'!$I$10,D55&gt;'⚙ Dashboard Settings'!$I$11),"⚠ ALERT","OK"))</f>
        <v/>
      </c>
      <c r="Q55" s="103" t="str">
        <f t="shared" si="1"/>
        <v/>
      </c>
    </row>
    <row r="56" spans="2:17" ht="14.25" customHeight="1" x14ac:dyDescent="0.25">
      <c r="B56" s="91"/>
      <c r="C56" s="99"/>
      <c r="D56" s="85"/>
      <c r="E56" s="85"/>
      <c r="F56" s="85"/>
      <c r="G56" s="93"/>
      <c r="H56" s="100"/>
      <c r="I56" s="85"/>
      <c r="J56" s="86"/>
      <c r="K56" s="86"/>
      <c r="L56" s="93"/>
      <c r="M56" s="101"/>
      <c r="N56" s="88"/>
      <c r="O56" s="104"/>
      <c r="P56" s="102" t="str">
        <f>IF(OR(C56="",D56=""),"",IF(OR(C56&gt;'⚙ Dashboard Settings'!$I$9,C56&lt;'⚙ Dashboard Settings'!$I$10,D56&gt;'⚙ Dashboard Settings'!$I$11),"⚠ ALERT","OK"))</f>
        <v/>
      </c>
      <c r="Q56" s="103" t="str">
        <f t="shared" si="1"/>
        <v/>
      </c>
    </row>
    <row r="57" spans="2:17" ht="14.25" customHeight="1" x14ac:dyDescent="0.25">
      <c r="B57" s="91"/>
      <c r="C57" s="99"/>
      <c r="D57" s="85"/>
      <c r="E57" s="85"/>
      <c r="F57" s="85"/>
      <c r="G57" s="93"/>
      <c r="H57" s="100"/>
      <c r="I57" s="85"/>
      <c r="J57" s="86"/>
      <c r="K57" s="86"/>
      <c r="L57" s="93"/>
      <c r="M57" s="101"/>
      <c r="N57" s="88"/>
      <c r="O57" s="104"/>
      <c r="P57" s="102" t="str">
        <f>IF(OR(C57="",D57=""),"",IF(OR(C57&gt;'⚙ Dashboard Settings'!$I$9,C57&lt;'⚙ Dashboard Settings'!$I$10,D57&gt;'⚙ Dashboard Settings'!$I$11),"⚠ ALERT","OK"))</f>
        <v/>
      </c>
      <c r="Q57" s="103" t="str">
        <f t="shared" si="1"/>
        <v/>
      </c>
    </row>
    <row r="58" spans="2:17" ht="14.25" customHeight="1" x14ac:dyDescent="0.25">
      <c r="B58" s="91"/>
      <c r="C58" s="99"/>
      <c r="D58" s="85"/>
      <c r="E58" s="85"/>
      <c r="F58" s="85"/>
      <c r="G58" s="93"/>
      <c r="H58" s="100"/>
      <c r="I58" s="85"/>
      <c r="J58" s="86"/>
      <c r="K58" s="86"/>
      <c r="L58" s="93"/>
      <c r="M58" s="101"/>
      <c r="N58" s="88"/>
      <c r="O58" s="104"/>
      <c r="P58" s="102" t="str">
        <f>IF(OR(C58="",D58=""),"",IF(OR(C58&gt;'⚙ Dashboard Settings'!$I$9,C58&lt;'⚙ Dashboard Settings'!$I$10,D58&gt;'⚙ Dashboard Settings'!$I$11),"⚠ ALERT","OK"))</f>
        <v/>
      </c>
      <c r="Q58" s="103" t="str">
        <f t="shared" si="1"/>
        <v/>
      </c>
    </row>
    <row r="59" spans="2:17" ht="14.25" customHeight="1" x14ac:dyDescent="0.25">
      <c r="B59" s="91"/>
      <c r="C59" s="99"/>
      <c r="D59" s="85"/>
      <c r="E59" s="85"/>
      <c r="F59" s="85"/>
      <c r="G59" s="93"/>
      <c r="H59" s="100"/>
      <c r="I59" s="85"/>
      <c r="J59" s="86"/>
      <c r="K59" s="86"/>
      <c r="L59" s="93"/>
      <c r="M59" s="101"/>
      <c r="N59" s="88"/>
      <c r="O59" s="104"/>
      <c r="P59" s="102" t="str">
        <f>IF(OR(C59="",D59=""),"",IF(OR(C59&gt;'⚙ Dashboard Settings'!$I$9,C59&lt;'⚙ Dashboard Settings'!$I$10,D59&gt;'⚙ Dashboard Settings'!$I$11),"⚠ ALERT","OK"))</f>
        <v/>
      </c>
      <c r="Q59" s="103" t="str">
        <f t="shared" si="1"/>
        <v/>
      </c>
    </row>
    <row r="60" spans="2:17" ht="14.25" customHeight="1" x14ac:dyDescent="0.25">
      <c r="B60" s="91"/>
      <c r="C60" s="99"/>
      <c r="D60" s="85"/>
      <c r="E60" s="85"/>
      <c r="F60" s="85"/>
      <c r="G60" s="93"/>
      <c r="H60" s="100"/>
      <c r="I60" s="85"/>
      <c r="J60" s="86"/>
      <c r="K60" s="86"/>
      <c r="L60" s="93"/>
      <c r="M60" s="101"/>
      <c r="N60" s="88"/>
      <c r="O60" s="104"/>
      <c r="P60" s="102" t="str">
        <f>IF(OR(C60="",D60=""),"",IF(OR(C60&gt;'⚙ Dashboard Settings'!$I$9,C60&lt;'⚙ Dashboard Settings'!$I$10,D60&gt;'⚙ Dashboard Settings'!$I$11),"⚠ ALERT","OK"))</f>
        <v/>
      </c>
      <c r="Q60" s="103" t="str">
        <f t="shared" si="1"/>
        <v/>
      </c>
    </row>
    <row r="61" spans="2:17" ht="14.25" customHeight="1" x14ac:dyDescent="0.25">
      <c r="B61" s="91"/>
      <c r="C61" s="99"/>
      <c r="D61" s="85"/>
      <c r="E61" s="85"/>
      <c r="F61" s="85"/>
      <c r="G61" s="93"/>
      <c r="H61" s="100"/>
      <c r="I61" s="85"/>
      <c r="J61" s="86"/>
      <c r="K61" s="86"/>
      <c r="L61" s="93"/>
      <c r="M61" s="101"/>
      <c r="N61" s="88"/>
      <c r="O61" s="104"/>
      <c r="P61" s="102" t="str">
        <f>IF(OR(C61="",D61=""),"",IF(OR(C61&gt;'⚙ Dashboard Settings'!$I$9,C61&lt;'⚙ Dashboard Settings'!$I$10,D61&gt;'⚙ Dashboard Settings'!$I$11),"⚠ ALERT","OK"))</f>
        <v/>
      </c>
      <c r="Q61" s="103" t="str">
        <f t="shared" si="1"/>
        <v/>
      </c>
    </row>
    <row r="62" spans="2:17" ht="14.25" customHeight="1" x14ac:dyDescent="0.25">
      <c r="B62" s="91"/>
      <c r="C62" s="99"/>
      <c r="D62" s="85"/>
      <c r="E62" s="85"/>
      <c r="F62" s="85"/>
      <c r="G62" s="93"/>
      <c r="H62" s="100"/>
      <c r="I62" s="85"/>
      <c r="J62" s="86"/>
      <c r="K62" s="86"/>
      <c r="L62" s="93"/>
      <c r="M62" s="101"/>
      <c r="N62" s="88"/>
      <c r="O62" s="104"/>
      <c r="P62" s="102" t="str">
        <f>IF(OR(C62="",D62=""),"",IF(OR(C62&gt;'⚙ Dashboard Settings'!$I$9,C62&lt;'⚙ Dashboard Settings'!$I$10,D62&gt;'⚙ Dashboard Settings'!$I$11),"⚠ ALERT","OK"))</f>
        <v/>
      </c>
      <c r="Q62" s="103" t="str">
        <f t="shared" si="1"/>
        <v/>
      </c>
    </row>
    <row r="63" spans="2:17" ht="14.25" customHeight="1" x14ac:dyDescent="0.25">
      <c r="B63" s="91"/>
      <c r="C63" s="99"/>
      <c r="D63" s="85"/>
      <c r="E63" s="85"/>
      <c r="F63" s="85"/>
      <c r="G63" s="93"/>
      <c r="H63" s="100"/>
      <c r="I63" s="85"/>
      <c r="J63" s="86"/>
      <c r="K63" s="86"/>
      <c r="L63" s="93"/>
      <c r="M63" s="101"/>
      <c r="N63" s="88"/>
      <c r="O63" s="104"/>
      <c r="P63" s="102" t="str">
        <f>IF(OR(C63="",D63=""),"",IF(OR(C63&gt;'⚙ Dashboard Settings'!$I$9,C63&lt;'⚙ Dashboard Settings'!$I$10,D63&gt;'⚙ Dashboard Settings'!$I$11),"⚠ ALERT","OK"))</f>
        <v/>
      </c>
      <c r="Q63" s="103" t="str">
        <f t="shared" si="1"/>
        <v/>
      </c>
    </row>
    <row r="64" spans="2:17" ht="14.25" customHeight="1" x14ac:dyDescent="0.25">
      <c r="B64" s="91"/>
      <c r="C64" s="99"/>
      <c r="D64" s="85"/>
      <c r="E64" s="85"/>
      <c r="F64" s="85"/>
      <c r="G64" s="93"/>
      <c r="H64" s="100"/>
      <c r="I64" s="85"/>
      <c r="J64" s="86"/>
      <c r="K64" s="86"/>
      <c r="L64" s="93"/>
      <c r="M64" s="101"/>
      <c r="N64" s="88"/>
      <c r="O64" s="104"/>
      <c r="P64" s="102" t="str">
        <f>IF(OR(C64="",D64=""),"",IF(OR(C64&gt;'⚙ Dashboard Settings'!$I$9,C64&lt;'⚙ Dashboard Settings'!$I$10,D64&gt;'⚙ Dashboard Settings'!$I$11),"⚠ ALERT","OK"))</f>
        <v/>
      </c>
      <c r="Q64" s="103" t="str">
        <f t="shared" si="1"/>
        <v/>
      </c>
    </row>
    <row r="65" spans="2:17" ht="14.25" customHeight="1" x14ac:dyDescent="0.25">
      <c r="B65" s="91"/>
      <c r="C65" s="99"/>
      <c r="D65" s="85"/>
      <c r="E65" s="85"/>
      <c r="F65" s="85"/>
      <c r="G65" s="93"/>
      <c r="H65" s="100"/>
      <c r="I65" s="85"/>
      <c r="J65" s="86"/>
      <c r="K65" s="86"/>
      <c r="L65" s="93"/>
      <c r="M65" s="101"/>
      <c r="N65" s="88"/>
      <c r="O65" s="104"/>
      <c r="P65" s="102" t="str">
        <f>IF(OR(C65="",D65=""),"",IF(OR(C65&gt;'⚙ Dashboard Settings'!$I$9,C65&lt;'⚙ Dashboard Settings'!$I$10,D65&gt;'⚙ Dashboard Settings'!$I$11),"⚠ ALERT","OK"))</f>
        <v/>
      </c>
      <c r="Q65" s="103" t="str">
        <f t="shared" si="1"/>
        <v/>
      </c>
    </row>
    <row r="66" spans="2:17" ht="14.25" customHeight="1" x14ac:dyDescent="0.25">
      <c r="B66" s="91"/>
      <c r="C66" s="99"/>
      <c r="D66" s="85"/>
      <c r="E66" s="85"/>
      <c r="F66" s="85"/>
      <c r="G66" s="93"/>
      <c r="H66" s="100"/>
      <c r="I66" s="85"/>
      <c r="J66" s="86"/>
      <c r="K66" s="86"/>
      <c r="L66" s="93"/>
      <c r="M66" s="101"/>
      <c r="N66" s="88"/>
      <c r="O66" s="104"/>
      <c r="P66" s="102" t="str">
        <f>IF(OR(C66="",D66=""),"",IF(OR(C66&gt;'⚙ Dashboard Settings'!$I$9,C66&lt;'⚙ Dashboard Settings'!$I$10,D66&gt;'⚙ Dashboard Settings'!$I$11),"⚠ ALERT","OK"))</f>
        <v/>
      </c>
      <c r="Q66" s="103" t="str">
        <f t="shared" si="1"/>
        <v/>
      </c>
    </row>
    <row r="67" spans="2:17" ht="14.25" customHeight="1" x14ac:dyDescent="0.25">
      <c r="B67" s="91"/>
      <c r="C67" s="99"/>
      <c r="D67" s="85"/>
      <c r="E67" s="85"/>
      <c r="F67" s="85"/>
      <c r="G67" s="93"/>
      <c r="H67" s="100"/>
      <c r="I67" s="85"/>
      <c r="J67" s="86"/>
      <c r="K67" s="86"/>
      <c r="L67" s="93"/>
      <c r="M67" s="101"/>
      <c r="N67" s="88"/>
      <c r="O67" s="104"/>
      <c r="P67" s="102" t="str">
        <f>IF(OR(C67="",D67=""),"",IF(OR(C67&gt;'⚙ Dashboard Settings'!$I$9,C67&lt;'⚙ Dashboard Settings'!$I$10,D67&gt;'⚙ Dashboard Settings'!$I$11),"⚠ ALERT","OK"))</f>
        <v/>
      </c>
      <c r="Q67" s="103" t="str">
        <f t="shared" si="1"/>
        <v/>
      </c>
    </row>
    <row r="68" spans="2:17" ht="14.25" customHeight="1" x14ac:dyDescent="0.25">
      <c r="B68" s="91"/>
      <c r="C68" s="99"/>
      <c r="D68" s="85"/>
      <c r="E68" s="85"/>
      <c r="F68" s="85"/>
      <c r="G68" s="93"/>
      <c r="H68" s="100"/>
      <c r="I68" s="85"/>
      <c r="J68" s="86"/>
      <c r="K68" s="86"/>
      <c r="L68" s="93"/>
      <c r="M68" s="101"/>
      <c r="N68" s="88"/>
      <c r="O68" s="104"/>
      <c r="P68" s="102" t="str">
        <f>IF(OR(C68="",D68=""),"",IF(OR(C68&gt;'⚙ Dashboard Settings'!$I$9,C68&lt;'⚙ Dashboard Settings'!$I$10,D68&gt;'⚙ Dashboard Settings'!$I$11),"⚠ ALERT","OK"))</f>
        <v/>
      </c>
      <c r="Q68" s="103" t="str">
        <f t="shared" ref="Q68:Q99" si="2">IF(F68="","",IF(F68&lt;94,"🚨 LOW","OK"))</f>
        <v/>
      </c>
    </row>
    <row r="69" spans="2:17" ht="14.25" customHeight="1" x14ac:dyDescent="0.25">
      <c r="B69" s="91"/>
      <c r="C69" s="99"/>
      <c r="D69" s="85"/>
      <c r="E69" s="85"/>
      <c r="F69" s="85"/>
      <c r="G69" s="93"/>
      <c r="H69" s="100"/>
      <c r="I69" s="85"/>
      <c r="J69" s="86"/>
      <c r="K69" s="86"/>
      <c r="L69" s="93"/>
      <c r="M69" s="101"/>
      <c r="N69" s="88"/>
      <c r="O69" s="104"/>
      <c r="P69" s="102" t="str">
        <f>IF(OR(C69="",D69=""),"",IF(OR(C69&gt;'⚙ Dashboard Settings'!$I$9,C69&lt;'⚙ Dashboard Settings'!$I$10,D69&gt;'⚙ Dashboard Settings'!$I$11),"⚠ ALERT","OK"))</f>
        <v/>
      </c>
      <c r="Q69" s="103" t="str">
        <f t="shared" si="2"/>
        <v/>
      </c>
    </row>
    <row r="70" spans="2:17" ht="14.25" customHeight="1" x14ac:dyDescent="0.25">
      <c r="B70" s="91"/>
      <c r="C70" s="99"/>
      <c r="D70" s="85"/>
      <c r="E70" s="85"/>
      <c r="F70" s="85"/>
      <c r="G70" s="93"/>
      <c r="H70" s="100"/>
      <c r="I70" s="85"/>
      <c r="J70" s="86"/>
      <c r="K70" s="86"/>
      <c r="L70" s="93"/>
      <c r="M70" s="101"/>
      <c r="N70" s="88"/>
      <c r="O70" s="104"/>
      <c r="P70" s="102" t="str">
        <f>IF(OR(C70="",D70=""),"",IF(OR(C70&gt;'⚙ Dashboard Settings'!$I$9,C70&lt;'⚙ Dashboard Settings'!$I$10,D70&gt;'⚙ Dashboard Settings'!$I$11),"⚠ ALERT","OK"))</f>
        <v/>
      </c>
      <c r="Q70" s="103" t="str">
        <f t="shared" si="2"/>
        <v/>
      </c>
    </row>
    <row r="71" spans="2:17" ht="14.25" customHeight="1" x14ac:dyDescent="0.25">
      <c r="B71" s="91"/>
      <c r="C71" s="99"/>
      <c r="D71" s="85"/>
      <c r="E71" s="85"/>
      <c r="F71" s="85"/>
      <c r="G71" s="93"/>
      <c r="H71" s="100"/>
      <c r="I71" s="85"/>
      <c r="J71" s="86"/>
      <c r="K71" s="86"/>
      <c r="L71" s="93"/>
      <c r="M71" s="101"/>
      <c r="N71" s="88"/>
      <c r="O71" s="104"/>
      <c r="P71" s="102" t="str">
        <f>IF(OR(C71="",D71=""),"",IF(OR(C71&gt;'⚙ Dashboard Settings'!$I$9,C71&lt;'⚙ Dashboard Settings'!$I$10,D71&gt;'⚙ Dashboard Settings'!$I$11),"⚠ ALERT","OK"))</f>
        <v/>
      </c>
      <c r="Q71" s="103" t="str">
        <f t="shared" si="2"/>
        <v/>
      </c>
    </row>
    <row r="72" spans="2:17" ht="14.25" customHeight="1" x14ac:dyDescent="0.25">
      <c r="B72" s="91"/>
      <c r="C72" s="99"/>
      <c r="D72" s="85"/>
      <c r="E72" s="85"/>
      <c r="F72" s="85"/>
      <c r="G72" s="93"/>
      <c r="H72" s="100"/>
      <c r="I72" s="85"/>
      <c r="J72" s="86"/>
      <c r="K72" s="86"/>
      <c r="L72" s="93"/>
      <c r="M72" s="101"/>
      <c r="N72" s="88"/>
      <c r="O72" s="104"/>
      <c r="P72" s="102" t="str">
        <f>IF(OR(C72="",D72=""),"",IF(OR(C72&gt;'⚙ Dashboard Settings'!$I$9,C72&lt;'⚙ Dashboard Settings'!$I$10,D72&gt;'⚙ Dashboard Settings'!$I$11),"⚠ ALERT","OK"))</f>
        <v/>
      </c>
      <c r="Q72" s="103" t="str">
        <f t="shared" si="2"/>
        <v/>
      </c>
    </row>
    <row r="73" spans="2:17" ht="14.25" customHeight="1" x14ac:dyDescent="0.25">
      <c r="B73" s="91"/>
      <c r="C73" s="99"/>
      <c r="D73" s="85"/>
      <c r="E73" s="85"/>
      <c r="F73" s="85"/>
      <c r="G73" s="93"/>
      <c r="H73" s="100"/>
      <c r="I73" s="85"/>
      <c r="J73" s="86"/>
      <c r="K73" s="86"/>
      <c r="L73" s="93"/>
      <c r="M73" s="101"/>
      <c r="N73" s="88"/>
      <c r="O73" s="104"/>
      <c r="P73" s="102" t="str">
        <f>IF(OR(C73="",D73=""),"",IF(OR(C73&gt;'⚙ Dashboard Settings'!$I$9,C73&lt;'⚙ Dashboard Settings'!$I$10,D73&gt;'⚙ Dashboard Settings'!$I$11),"⚠ ALERT","OK"))</f>
        <v/>
      </c>
      <c r="Q73" s="103" t="str">
        <f t="shared" si="2"/>
        <v/>
      </c>
    </row>
    <row r="74" spans="2:17" ht="14.25" customHeight="1" x14ac:dyDescent="0.25">
      <c r="B74" s="105"/>
      <c r="C74" s="99"/>
      <c r="D74" s="85"/>
      <c r="E74" s="85"/>
      <c r="F74" s="85"/>
      <c r="G74" s="93"/>
      <c r="H74" s="100"/>
      <c r="I74" s="85"/>
      <c r="J74" s="86"/>
      <c r="K74" s="86"/>
      <c r="L74" s="93"/>
      <c r="M74" s="101"/>
      <c r="N74" s="88"/>
      <c r="O74" s="104"/>
      <c r="P74" s="102" t="str">
        <f>IF(OR(C74="",D74=""),"",IF(OR(C74&gt;'⚙ Dashboard Settings'!$I$9,C74&lt;'⚙ Dashboard Settings'!$I$10,D74&gt;'⚙ Dashboard Settings'!$I$11),"⚠ ALERT","OK"))</f>
        <v/>
      </c>
      <c r="Q74" s="103" t="str">
        <f t="shared" si="2"/>
        <v/>
      </c>
    </row>
    <row r="75" spans="2:17" ht="14.25" customHeight="1" x14ac:dyDescent="0.25">
      <c r="B75" s="105"/>
      <c r="C75" s="99"/>
      <c r="D75" s="85"/>
      <c r="E75" s="85"/>
      <c r="F75" s="85"/>
      <c r="G75" s="93"/>
      <c r="H75" s="100"/>
      <c r="I75" s="85"/>
      <c r="J75" s="86"/>
      <c r="K75" s="86"/>
      <c r="L75" s="93"/>
      <c r="M75" s="101"/>
      <c r="N75" s="88"/>
      <c r="O75" s="104"/>
      <c r="P75" s="102" t="str">
        <f>IF(OR(C75="",D75=""),"",IF(OR(C75&gt;'⚙ Dashboard Settings'!$I$9,C75&lt;'⚙ Dashboard Settings'!$I$10,D75&gt;'⚙ Dashboard Settings'!$I$11),"⚠ ALERT","OK"))</f>
        <v/>
      </c>
      <c r="Q75" s="103" t="str">
        <f t="shared" si="2"/>
        <v/>
      </c>
    </row>
    <row r="76" spans="2:17" ht="14.25" customHeight="1" x14ac:dyDescent="0.25">
      <c r="B76" s="105"/>
      <c r="C76" s="99"/>
      <c r="D76" s="85"/>
      <c r="E76" s="85"/>
      <c r="F76" s="85"/>
      <c r="G76" s="93"/>
      <c r="H76" s="100"/>
      <c r="I76" s="85"/>
      <c r="J76" s="86"/>
      <c r="K76" s="86"/>
      <c r="L76" s="93"/>
      <c r="M76" s="101"/>
      <c r="N76" s="88"/>
      <c r="O76" s="104"/>
      <c r="P76" s="102" t="str">
        <f>IF(OR(C76="",D76=""),"",IF(OR(C76&gt;'⚙ Dashboard Settings'!$I$9,C76&lt;'⚙ Dashboard Settings'!$I$10,D76&gt;'⚙ Dashboard Settings'!$I$11),"⚠ ALERT","OK"))</f>
        <v/>
      </c>
      <c r="Q76" s="103" t="str">
        <f t="shared" si="2"/>
        <v/>
      </c>
    </row>
    <row r="77" spans="2:17" ht="14.25" customHeight="1" x14ac:dyDescent="0.25">
      <c r="B77" s="105"/>
      <c r="C77" s="99"/>
      <c r="D77" s="85"/>
      <c r="E77" s="85"/>
      <c r="F77" s="85"/>
      <c r="G77" s="106"/>
      <c r="H77" s="100"/>
      <c r="I77" s="85"/>
      <c r="J77" s="86"/>
      <c r="K77" s="86"/>
      <c r="L77" s="106"/>
      <c r="M77" s="101"/>
      <c r="N77" s="86"/>
      <c r="O77" s="104"/>
      <c r="P77" s="102" t="str">
        <f>IF(OR(C77="",D77=""),"",IF(OR(C77&gt;'⚙ Dashboard Settings'!$I$9,C77&lt;'⚙ Dashboard Settings'!$I$10,D77&gt;'⚙ Dashboard Settings'!$I$11),"⚠ ALERT","OK"))</f>
        <v/>
      </c>
      <c r="Q77" s="103" t="str">
        <f t="shared" si="2"/>
        <v/>
      </c>
    </row>
    <row r="78" spans="2:17" ht="14.25" customHeight="1" x14ac:dyDescent="0.25">
      <c r="B78" s="105"/>
      <c r="C78" s="99"/>
      <c r="D78" s="85"/>
      <c r="E78" s="85"/>
      <c r="F78" s="85"/>
      <c r="G78" s="106"/>
      <c r="H78" s="100"/>
      <c r="I78" s="85"/>
      <c r="J78" s="86"/>
      <c r="K78" s="86"/>
      <c r="L78" s="106"/>
      <c r="M78" s="101"/>
      <c r="N78" s="86"/>
      <c r="O78" s="104"/>
      <c r="P78" s="102" t="str">
        <f>IF(OR(C78="",D78=""),"",IF(OR(C78&gt;'⚙ Dashboard Settings'!$I$9,C78&lt;'⚙ Dashboard Settings'!$I$10,D78&gt;'⚙ Dashboard Settings'!$I$11),"⚠ ALERT","OK"))</f>
        <v/>
      </c>
      <c r="Q78" s="103" t="str">
        <f t="shared" si="2"/>
        <v/>
      </c>
    </row>
    <row r="79" spans="2:17" ht="14.25" customHeight="1" x14ac:dyDescent="0.25">
      <c r="B79" s="105"/>
      <c r="C79" s="99"/>
      <c r="D79" s="85"/>
      <c r="E79" s="85"/>
      <c r="F79" s="85"/>
      <c r="G79" s="106"/>
      <c r="H79" s="100"/>
      <c r="I79" s="85"/>
      <c r="J79" s="86"/>
      <c r="K79" s="86"/>
      <c r="L79" s="106"/>
      <c r="M79" s="101"/>
      <c r="N79" s="86"/>
      <c r="O79" s="104"/>
      <c r="P79" s="102" t="str">
        <f>IF(OR(C79="",D79=""),"",IF(OR(C79&gt;'⚙ Dashboard Settings'!$I$9,C79&lt;'⚙ Dashboard Settings'!$I$10,D79&gt;'⚙ Dashboard Settings'!$I$11),"⚠ ALERT","OK"))</f>
        <v/>
      </c>
      <c r="Q79" s="103" t="str">
        <f t="shared" si="2"/>
        <v/>
      </c>
    </row>
    <row r="80" spans="2:17" ht="14.25" customHeight="1" x14ac:dyDescent="0.25">
      <c r="B80" s="105"/>
      <c r="C80" s="99"/>
      <c r="D80" s="85"/>
      <c r="E80" s="85"/>
      <c r="F80" s="85"/>
      <c r="G80" s="106"/>
      <c r="H80" s="100"/>
      <c r="I80" s="85"/>
      <c r="J80" s="86"/>
      <c r="K80" s="86"/>
      <c r="L80" s="106"/>
      <c r="M80" s="101"/>
      <c r="N80" s="86"/>
      <c r="O80" s="104"/>
      <c r="P80" s="102" t="str">
        <f>IF(OR(C80="",D80=""),"",IF(OR(C80&gt;'⚙ Dashboard Settings'!$I$9,C80&lt;'⚙ Dashboard Settings'!$I$10,D80&gt;'⚙ Dashboard Settings'!$I$11),"⚠ ALERT","OK"))</f>
        <v/>
      </c>
      <c r="Q80" s="103" t="str">
        <f t="shared" si="2"/>
        <v/>
      </c>
    </row>
    <row r="81" spans="2:17" ht="14.25" customHeight="1" x14ac:dyDescent="0.25">
      <c r="B81" s="105"/>
      <c r="C81" s="99"/>
      <c r="D81" s="85"/>
      <c r="E81" s="85"/>
      <c r="F81" s="85"/>
      <c r="G81" s="106"/>
      <c r="H81" s="100"/>
      <c r="I81" s="85"/>
      <c r="J81" s="86"/>
      <c r="K81" s="86"/>
      <c r="L81" s="106"/>
      <c r="M81" s="101"/>
      <c r="N81" s="86"/>
      <c r="O81" s="104"/>
      <c r="P81" s="102" t="str">
        <f>IF(OR(C81="",D81=""),"",IF(OR(C81&gt;'⚙ Dashboard Settings'!$I$9,C81&lt;'⚙ Dashboard Settings'!$I$10,D81&gt;'⚙ Dashboard Settings'!$I$11),"⚠ ALERT","OK"))</f>
        <v/>
      </c>
      <c r="Q81" s="103" t="str">
        <f t="shared" si="2"/>
        <v/>
      </c>
    </row>
    <row r="82" spans="2:17" ht="14.25" customHeight="1" x14ac:dyDescent="0.25">
      <c r="B82" s="105"/>
      <c r="C82" s="99"/>
      <c r="D82" s="85"/>
      <c r="E82" s="85"/>
      <c r="F82" s="85"/>
      <c r="G82" s="106"/>
      <c r="H82" s="100"/>
      <c r="I82" s="85"/>
      <c r="J82" s="86"/>
      <c r="K82" s="86"/>
      <c r="L82" s="106"/>
      <c r="M82" s="101"/>
      <c r="N82" s="86"/>
      <c r="O82" s="104"/>
      <c r="P82" s="102" t="str">
        <f>IF(OR(C82="",D82=""),"",IF(OR(C82&gt;'⚙ Dashboard Settings'!$I$9,C82&lt;'⚙ Dashboard Settings'!$I$10,D82&gt;'⚙ Dashboard Settings'!$I$11),"⚠ ALERT","OK"))</f>
        <v/>
      </c>
      <c r="Q82" s="103" t="str">
        <f t="shared" si="2"/>
        <v/>
      </c>
    </row>
    <row r="83" spans="2:17" ht="14.25" customHeight="1" x14ac:dyDescent="0.25">
      <c r="B83" s="105"/>
      <c r="C83" s="99"/>
      <c r="D83" s="85"/>
      <c r="E83" s="85"/>
      <c r="F83" s="85"/>
      <c r="G83" s="106"/>
      <c r="H83" s="100"/>
      <c r="I83" s="85"/>
      <c r="J83" s="86"/>
      <c r="K83" s="86"/>
      <c r="L83" s="106"/>
      <c r="M83" s="101"/>
      <c r="N83" s="86"/>
      <c r="O83" s="104"/>
      <c r="P83" s="102" t="str">
        <f>IF(OR(C83="",D83=""),"",IF(OR(C83&gt;'⚙ Dashboard Settings'!$I$9,C83&lt;'⚙ Dashboard Settings'!$I$10,D83&gt;'⚙ Dashboard Settings'!$I$11),"⚠ ALERT","OK"))</f>
        <v/>
      </c>
      <c r="Q83" s="103" t="str">
        <f t="shared" si="2"/>
        <v/>
      </c>
    </row>
    <row r="84" spans="2:17" ht="14.25" customHeight="1" x14ac:dyDescent="0.25">
      <c r="B84" s="105"/>
      <c r="C84" s="99"/>
      <c r="D84" s="85"/>
      <c r="E84" s="85"/>
      <c r="F84" s="85"/>
      <c r="G84" s="106"/>
      <c r="H84" s="100"/>
      <c r="I84" s="85"/>
      <c r="J84" s="86"/>
      <c r="K84" s="86"/>
      <c r="L84" s="106"/>
      <c r="M84" s="101"/>
      <c r="N84" s="86"/>
      <c r="O84" s="104"/>
      <c r="P84" s="102" t="str">
        <f>IF(OR(C84="",D84=""),"",IF(OR(C84&gt;'⚙ Dashboard Settings'!$I$9,C84&lt;'⚙ Dashboard Settings'!$I$10,D84&gt;'⚙ Dashboard Settings'!$I$11),"⚠ ALERT","OK"))</f>
        <v/>
      </c>
      <c r="Q84" s="103" t="str">
        <f t="shared" si="2"/>
        <v/>
      </c>
    </row>
    <row r="85" spans="2:17" ht="14.25" customHeight="1" x14ac:dyDescent="0.25">
      <c r="B85" s="105"/>
      <c r="C85" s="99"/>
      <c r="D85" s="85"/>
      <c r="E85" s="85"/>
      <c r="F85" s="85"/>
      <c r="G85" s="106"/>
      <c r="H85" s="100"/>
      <c r="I85" s="85"/>
      <c r="J85" s="86"/>
      <c r="K85" s="86"/>
      <c r="L85" s="106"/>
      <c r="M85" s="101"/>
      <c r="N85" s="86"/>
      <c r="O85" s="104"/>
      <c r="P85" s="102" t="str">
        <f>IF(OR(C85="",D85=""),"",IF(OR(C85&gt;'⚙ Dashboard Settings'!$I$9,C85&lt;'⚙ Dashboard Settings'!$I$10,D85&gt;'⚙ Dashboard Settings'!$I$11),"⚠ ALERT","OK"))</f>
        <v/>
      </c>
      <c r="Q85" s="103" t="str">
        <f t="shared" si="2"/>
        <v/>
      </c>
    </row>
    <row r="86" spans="2:17" ht="14.25" customHeight="1" x14ac:dyDescent="0.25">
      <c r="B86" s="105"/>
      <c r="C86" s="99"/>
      <c r="D86" s="85"/>
      <c r="E86" s="85"/>
      <c r="F86" s="85"/>
      <c r="G86" s="106"/>
      <c r="H86" s="100"/>
      <c r="I86" s="85"/>
      <c r="J86" s="86"/>
      <c r="K86" s="86"/>
      <c r="L86" s="106"/>
      <c r="M86" s="101"/>
      <c r="N86" s="86"/>
      <c r="O86" s="104"/>
      <c r="P86" s="102" t="str">
        <f>IF(OR(C86="",D86=""),"",IF(OR(C86&gt;'⚙ Dashboard Settings'!$I$9,C86&lt;'⚙ Dashboard Settings'!$I$10,D86&gt;'⚙ Dashboard Settings'!$I$11),"⚠ ALERT","OK"))</f>
        <v/>
      </c>
      <c r="Q86" s="103" t="str">
        <f t="shared" si="2"/>
        <v/>
      </c>
    </row>
    <row r="87" spans="2:17" ht="14.25" customHeight="1" x14ac:dyDescent="0.25">
      <c r="B87" s="105"/>
      <c r="C87" s="99"/>
      <c r="D87" s="85"/>
      <c r="E87" s="85"/>
      <c r="F87" s="85"/>
      <c r="G87" s="106"/>
      <c r="H87" s="100"/>
      <c r="I87" s="85"/>
      <c r="J87" s="86"/>
      <c r="K87" s="86"/>
      <c r="L87" s="106"/>
      <c r="M87" s="101"/>
      <c r="N87" s="86"/>
      <c r="O87" s="104"/>
      <c r="P87" s="102" t="str">
        <f>IF(OR(C87="",D87=""),"",IF(OR(C87&gt;'⚙ Dashboard Settings'!$I$9,C87&lt;'⚙ Dashboard Settings'!$I$10,D87&gt;'⚙ Dashboard Settings'!$I$11),"⚠ ALERT","OK"))</f>
        <v/>
      </c>
      <c r="Q87" s="103" t="str">
        <f t="shared" si="2"/>
        <v/>
      </c>
    </row>
    <row r="88" spans="2:17" ht="14.25" customHeight="1" x14ac:dyDescent="0.25">
      <c r="B88" s="105"/>
      <c r="C88" s="99"/>
      <c r="D88" s="85"/>
      <c r="E88" s="85"/>
      <c r="F88" s="85"/>
      <c r="G88" s="106"/>
      <c r="H88" s="100"/>
      <c r="I88" s="85"/>
      <c r="J88" s="86"/>
      <c r="K88" s="86"/>
      <c r="L88" s="106"/>
      <c r="M88" s="101"/>
      <c r="N88" s="86"/>
      <c r="O88" s="104"/>
      <c r="P88" s="102" t="str">
        <f>IF(OR(C88="",D88=""),"",IF(OR(C88&gt;'⚙ Dashboard Settings'!$I$9,C88&lt;'⚙ Dashboard Settings'!$I$10,D88&gt;'⚙ Dashboard Settings'!$I$11),"⚠ ALERT","OK"))</f>
        <v/>
      </c>
      <c r="Q88" s="103" t="str">
        <f t="shared" si="2"/>
        <v/>
      </c>
    </row>
    <row r="89" spans="2:17" ht="14.25" customHeight="1" x14ac:dyDescent="0.25">
      <c r="B89" s="105"/>
      <c r="C89" s="99"/>
      <c r="D89" s="85"/>
      <c r="E89" s="85"/>
      <c r="F89" s="85"/>
      <c r="G89" s="106"/>
      <c r="H89" s="100"/>
      <c r="I89" s="85"/>
      <c r="J89" s="86"/>
      <c r="K89" s="86"/>
      <c r="L89" s="106"/>
      <c r="M89" s="101"/>
      <c r="N89" s="86"/>
      <c r="O89" s="104"/>
      <c r="P89" s="102" t="str">
        <f>IF(OR(C89="",D89=""),"",IF(OR(C89&gt;'⚙ Dashboard Settings'!$I$9,C89&lt;'⚙ Dashboard Settings'!$I$10,D89&gt;'⚙ Dashboard Settings'!$I$11),"⚠ ALERT","OK"))</f>
        <v/>
      </c>
      <c r="Q89" s="103" t="str">
        <f t="shared" si="2"/>
        <v/>
      </c>
    </row>
    <row r="90" spans="2:17" ht="14.25" customHeight="1" x14ac:dyDescent="0.25">
      <c r="B90" s="105"/>
      <c r="C90" s="99"/>
      <c r="D90" s="85"/>
      <c r="E90" s="85"/>
      <c r="F90" s="85"/>
      <c r="G90" s="106"/>
      <c r="H90" s="100"/>
      <c r="I90" s="85"/>
      <c r="J90" s="86"/>
      <c r="K90" s="86"/>
      <c r="L90" s="106"/>
      <c r="M90" s="101"/>
      <c r="N90" s="86"/>
      <c r="O90" s="104"/>
      <c r="P90" s="102" t="str">
        <f>IF(OR(C90="",D90=""),"",IF(OR(C90&gt;'⚙ Dashboard Settings'!$I$9,C90&lt;'⚙ Dashboard Settings'!$I$10,D90&gt;'⚙ Dashboard Settings'!$I$11),"⚠ ALERT","OK"))</f>
        <v/>
      </c>
      <c r="Q90" s="103" t="str">
        <f t="shared" si="2"/>
        <v/>
      </c>
    </row>
    <row r="91" spans="2:17" ht="14.25" customHeight="1" x14ac:dyDescent="0.25">
      <c r="B91" s="105"/>
      <c r="C91" s="99"/>
      <c r="D91" s="85"/>
      <c r="E91" s="85"/>
      <c r="F91" s="85"/>
      <c r="G91" s="106"/>
      <c r="H91" s="100"/>
      <c r="I91" s="85"/>
      <c r="J91" s="86"/>
      <c r="K91" s="86"/>
      <c r="L91" s="106"/>
      <c r="M91" s="101"/>
      <c r="N91" s="86"/>
      <c r="O91" s="104"/>
      <c r="P91" s="102" t="str">
        <f>IF(OR(C91="",D91=""),"",IF(OR(C91&gt;'⚙ Dashboard Settings'!$I$9,C91&lt;'⚙ Dashboard Settings'!$I$10,D91&gt;'⚙ Dashboard Settings'!$I$11),"⚠ ALERT","OK"))</f>
        <v/>
      </c>
      <c r="Q91" s="103" t="str">
        <f t="shared" si="2"/>
        <v/>
      </c>
    </row>
    <row r="92" spans="2:17" ht="14.25" customHeight="1" x14ac:dyDescent="0.25">
      <c r="B92" s="105"/>
      <c r="C92" s="99"/>
      <c r="D92" s="85"/>
      <c r="E92" s="85"/>
      <c r="F92" s="85"/>
      <c r="G92" s="106"/>
      <c r="H92" s="100"/>
      <c r="I92" s="85"/>
      <c r="J92" s="86"/>
      <c r="K92" s="86"/>
      <c r="L92" s="106"/>
      <c r="M92" s="101"/>
      <c r="N92" s="86"/>
      <c r="O92" s="104"/>
      <c r="P92" s="102" t="str">
        <f>IF(OR(C92="",D92=""),"",IF(OR(C92&gt;'⚙ Dashboard Settings'!$I$9,C92&lt;'⚙ Dashboard Settings'!$I$10,D92&gt;'⚙ Dashboard Settings'!$I$11),"⚠ ALERT","OK"))</f>
        <v/>
      </c>
      <c r="Q92" s="103" t="str">
        <f t="shared" si="2"/>
        <v/>
      </c>
    </row>
    <row r="93" spans="2:17" ht="14.25" customHeight="1" x14ac:dyDescent="0.25">
      <c r="B93" s="105"/>
      <c r="C93" s="99"/>
      <c r="D93" s="85"/>
      <c r="E93" s="85"/>
      <c r="F93" s="85"/>
      <c r="G93" s="106"/>
      <c r="H93" s="100"/>
      <c r="I93" s="85"/>
      <c r="J93" s="86"/>
      <c r="K93" s="86"/>
      <c r="L93" s="106"/>
      <c r="M93" s="101"/>
      <c r="N93" s="86"/>
      <c r="O93" s="104"/>
      <c r="P93" s="102" t="str">
        <f>IF(OR(C93="",D93=""),"",IF(OR(C93&gt;'⚙ Dashboard Settings'!$I$9,C93&lt;'⚙ Dashboard Settings'!$I$10,D93&gt;'⚙ Dashboard Settings'!$I$11),"⚠ ALERT","OK"))</f>
        <v/>
      </c>
      <c r="Q93" s="103" t="str">
        <f t="shared" si="2"/>
        <v/>
      </c>
    </row>
    <row r="94" spans="2:17" ht="14.25" customHeight="1" x14ac:dyDescent="0.25">
      <c r="B94" s="105"/>
      <c r="C94" s="99"/>
      <c r="D94" s="85"/>
      <c r="E94" s="85"/>
      <c r="F94" s="85"/>
      <c r="G94" s="106"/>
      <c r="H94" s="100"/>
      <c r="I94" s="85"/>
      <c r="J94" s="86"/>
      <c r="K94" s="86"/>
      <c r="L94" s="106"/>
      <c r="M94" s="101"/>
      <c r="N94" s="86"/>
      <c r="O94" s="104"/>
      <c r="P94" s="102" t="str">
        <f>IF(OR(C94="",D94=""),"",IF(OR(C94&gt;'⚙ Dashboard Settings'!$I$9,C94&lt;'⚙ Dashboard Settings'!$I$10,D94&gt;'⚙ Dashboard Settings'!$I$11),"⚠ ALERT","OK"))</f>
        <v/>
      </c>
      <c r="Q94" s="103" t="str">
        <f t="shared" si="2"/>
        <v/>
      </c>
    </row>
    <row r="95" spans="2:17" ht="14.25" customHeight="1" x14ac:dyDescent="0.25">
      <c r="B95" s="105"/>
      <c r="C95" s="99"/>
      <c r="D95" s="85"/>
      <c r="E95" s="85"/>
      <c r="F95" s="85"/>
      <c r="G95" s="106"/>
      <c r="H95" s="100"/>
      <c r="I95" s="85"/>
      <c r="J95" s="86"/>
      <c r="K95" s="86"/>
      <c r="L95" s="106"/>
      <c r="M95" s="101"/>
      <c r="N95" s="86"/>
      <c r="O95" s="104"/>
      <c r="P95" s="102" t="str">
        <f>IF(OR(C95="",D95=""),"",IF(OR(C95&gt;'⚙ Dashboard Settings'!$I$9,C95&lt;'⚙ Dashboard Settings'!$I$10,D95&gt;'⚙ Dashboard Settings'!$I$11),"⚠ ALERT","OK"))</f>
        <v/>
      </c>
      <c r="Q95" s="103" t="str">
        <f t="shared" si="2"/>
        <v/>
      </c>
    </row>
    <row r="96" spans="2:17" ht="14.25" customHeight="1" x14ac:dyDescent="0.25">
      <c r="B96" s="105"/>
      <c r="C96" s="99"/>
      <c r="D96" s="85"/>
      <c r="E96" s="85"/>
      <c r="F96" s="85"/>
      <c r="G96" s="106"/>
      <c r="H96" s="100"/>
      <c r="I96" s="85"/>
      <c r="J96" s="86"/>
      <c r="K96" s="86"/>
      <c r="L96" s="106"/>
      <c r="M96" s="101"/>
      <c r="N96" s="86"/>
      <c r="O96" s="104"/>
      <c r="P96" s="102" t="str">
        <f>IF(OR(C96="",D96=""),"",IF(OR(C96&gt;'⚙ Dashboard Settings'!$I$9,C96&lt;'⚙ Dashboard Settings'!$I$10,D96&gt;'⚙ Dashboard Settings'!$I$11),"⚠ ALERT","OK"))</f>
        <v/>
      </c>
      <c r="Q96" s="103" t="str">
        <f t="shared" si="2"/>
        <v/>
      </c>
    </row>
    <row r="97" spans="2:17" ht="14.25" customHeight="1" x14ac:dyDescent="0.25">
      <c r="B97" s="105"/>
      <c r="C97" s="99"/>
      <c r="D97" s="85"/>
      <c r="E97" s="85"/>
      <c r="F97" s="85"/>
      <c r="G97" s="106"/>
      <c r="H97" s="100"/>
      <c r="I97" s="85"/>
      <c r="J97" s="86"/>
      <c r="K97" s="86"/>
      <c r="L97" s="106"/>
      <c r="M97" s="101"/>
      <c r="N97" s="86"/>
      <c r="O97" s="104"/>
      <c r="P97" s="102" t="str">
        <f>IF(OR(C97="",D97=""),"",IF(OR(C97&gt;'⚙ Dashboard Settings'!$I$9,C97&lt;'⚙ Dashboard Settings'!$I$10,D97&gt;'⚙ Dashboard Settings'!$I$11),"⚠ ALERT","OK"))</f>
        <v/>
      </c>
      <c r="Q97" s="103" t="str">
        <f t="shared" si="2"/>
        <v/>
      </c>
    </row>
    <row r="98" spans="2:17" ht="14.25" customHeight="1" x14ac:dyDescent="0.25">
      <c r="B98" s="105"/>
      <c r="C98" s="99"/>
      <c r="D98" s="85"/>
      <c r="E98" s="85"/>
      <c r="F98" s="85"/>
      <c r="G98" s="106"/>
      <c r="H98" s="100"/>
      <c r="I98" s="85"/>
      <c r="J98" s="86"/>
      <c r="K98" s="86"/>
      <c r="L98" s="106"/>
      <c r="M98" s="101"/>
      <c r="N98" s="86"/>
      <c r="O98" s="104"/>
      <c r="P98" s="102" t="str">
        <f>IF(OR(C98="",D98=""),"",IF(OR(C98&gt;'⚙ Dashboard Settings'!$I$9,C98&lt;'⚙ Dashboard Settings'!$I$10,D98&gt;'⚙ Dashboard Settings'!$I$11),"⚠ ALERT","OK"))</f>
        <v/>
      </c>
      <c r="Q98" s="103" t="str">
        <f t="shared" si="2"/>
        <v/>
      </c>
    </row>
    <row r="99" spans="2:17" ht="14.25" customHeight="1" x14ac:dyDescent="0.25">
      <c r="B99" s="105"/>
      <c r="C99" s="99"/>
      <c r="D99" s="85"/>
      <c r="E99" s="85"/>
      <c r="F99" s="85"/>
      <c r="G99" s="106"/>
      <c r="H99" s="100"/>
      <c r="I99" s="85"/>
      <c r="J99" s="86"/>
      <c r="K99" s="86"/>
      <c r="L99" s="106"/>
      <c r="M99" s="101"/>
      <c r="N99" s="86"/>
      <c r="O99" s="104"/>
      <c r="P99" s="102" t="str">
        <f>IF(OR(C99="",D99=""),"",IF(OR(C99&gt;'⚙ Dashboard Settings'!$I$9,C99&lt;'⚙ Dashboard Settings'!$I$10,D99&gt;'⚙ Dashboard Settings'!$I$11),"⚠ ALERT","OK"))</f>
        <v/>
      </c>
      <c r="Q99" s="103" t="str">
        <f t="shared" si="2"/>
        <v/>
      </c>
    </row>
    <row r="100" spans="2:17" ht="14.25" customHeight="1" x14ac:dyDescent="0.25">
      <c r="B100" s="105"/>
      <c r="C100" s="99"/>
      <c r="D100" s="85"/>
      <c r="E100" s="85"/>
      <c r="F100" s="85"/>
      <c r="G100" s="106"/>
      <c r="H100" s="100"/>
      <c r="I100" s="85"/>
      <c r="J100" s="86"/>
      <c r="K100" s="86"/>
      <c r="L100" s="106"/>
      <c r="M100" s="101"/>
      <c r="N100" s="86"/>
      <c r="O100" s="104"/>
      <c r="P100" s="102" t="str">
        <f>IF(OR(C100="",D100=""),"",IF(OR(C100&gt;'⚙ Dashboard Settings'!$I$9,C100&lt;'⚙ Dashboard Settings'!$I$10,D100&gt;'⚙ Dashboard Settings'!$I$11),"⚠ ALERT","OK"))</f>
        <v/>
      </c>
      <c r="Q100" s="103" t="str">
        <f t="shared" ref="Q100:Q113" si="3">IF(F100="","",IF(F100&lt;94,"🚨 LOW","OK"))</f>
        <v/>
      </c>
    </row>
    <row r="101" spans="2:17" ht="14.25" customHeight="1" x14ac:dyDescent="0.25">
      <c r="B101" s="105"/>
      <c r="C101" s="99"/>
      <c r="D101" s="85"/>
      <c r="E101" s="85"/>
      <c r="F101" s="85"/>
      <c r="G101" s="106"/>
      <c r="H101" s="100"/>
      <c r="I101" s="85"/>
      <c r="J101" s="86"/>
      <c r="K101" s="86"/>
      <c r="L101" s="106"/>
      <c r="M101" s="101"/>
      <c r="N101" s="86"/>
      <c r="O101" s="104"/>
      <c r="P101" s="102" t="str">
        <f>IF(OR(C101="",D101=""),"",IF(OR(C101&gt;'⚙ Dashboard Settings'!$I$9,C101&lt;'⚙ Dashboard Settings'!$I$10,D101&gt;'⚙ Dashboard Settings'!$I$11),"⚠ ALERT","OK"))</f>
        <v/>
      </c>
      <c r="Q101" s="103" t="str">
        <f t="shared" si="3"/>
        <v/>
      </c>
    </row>
    <row r="102" spans="2:17" ht="14.25" customHeight="1" x14ac:dyDescent="0.25">
      <c r="B102" s="105"/>
      <c r="C102" s="99"/>
      <c r="D102" s="85"/>
      <c r="E102" s="85"/>
      <c r="F102" s="85"/>
      <c r="G102" s="106"/>
      <c r="H102" s="100"/>
      <c r="I102" s="85"/>
      <c r="J102" s="86"/>
      <c r="K102" s="86"/>
      <c r="L102" s="106"/>
      <c r="M102" s="101"/>
      <c r="N102" s="86"/>
      <c r="O102" s="104"/>
      <c r="P102" s="102" t="str">
        <f>IF(OR(C102="",D102=""),"",IF(OR(C102&gt;'⚙ Dashboard Settings'!$I$9,C102&lt;'⚙ Dashboard Settings'!$I$10,D102&gt;'⚙ Dashboard Settings'!$I$11),"⚠ ALERT","OK"))</f>
        <v/>
      </c>
      <c r="Q102" s="103" t="str">
        <f t="shared" si="3"/>
        <v/>
      </c>
    </row>
    <row r="103" spans="2:17" ht="14.25" customHeight="1" x14ac:dyDescent="0.25">
      <c r="B103" s="105"/>
      <c r="C103" s="99"/>
      <c r="D103" s="85"/>
      <c r="E103" s="85"/>
      <c r="F103" s="85"/>
      <c r="G103" s="106"/>
      <c r="H103" s="100"/>
      <c r="I103" s="85"/>
      <c r="J103" s="86"/>
      <c r="K103" s="86"/>
      <c r="L103" s="106"/>
      <c r="M103" s="101"/>
      <c r="N103" s="86"/>
      <c r="O103" s="104"/>
      <c r="P103" s="102" t="str">
        <f>IF(OR(C103="",D103=""),"",IF(OR(C103&gt;'⚙ Dashboard Settings'!$I$9,C103&lt;'⚙ Dashboard Settings'!$I$10,D103&gt;'⚙ Dashboard Settings'!$I$11),"⚠ ALERT","OK"))</f>
        <v/>
      </c>
      <c r="Q103" s="103" t="str">
        <f t="shared" si="3"/>
        <v/>
      </c>
    </row>
    <row r="104" spans="2:17" ht="14.25" customHeight="1" x14ac:dyDescent="0.25">
      <c r="B104" s="105"/>
      <c r="C104" s="99"/>
      <c r="D104" s="85"/>
      <c r="E104" s="85"/>
      <c r="F104" s="85"/>
      <c r="G104" s="106"/>
      <c r="H104" s="100"/>
      <c r="I104" s="85"/>
      <c r="J104" s="86"/>
      <c r="K104" s="86"/>
      <c r="L104" s="106"/>
      <c r="M104" s="101"/>
      <c r="N104" s="86"/>
      <c r="O104" s="104"/>
      <c r="P104" s="102" t="str">
        <f>IF(OR(C104="",D104=""),"",IF(OR(C104&gt;'⚙ Dashboard Settings'!$I$9,C104&lt;'⚙ Dashboard Settings'!$I$10,D104&gt;'⚙ Dashboard Settings'!$I$11),"⚠ ALERT","OK"))</f>
        <v/>
      </c>
      <c r="Q104" s="103" t="str">
        <f t="shared" si="3"/>
        <v/>
      </c>
    </row>
    <row r="105" spans="2:17" ht="14.25" customHeight="1" x14ac:dyDescent="0.25">
      <c r="B105" s="105"/>
      <c r="C105" s="99"/>
      <c r="D105" s="85"/>
      <c r="E105" s="85"/>
      <c r="F105" s="85"/>
      <c r="G105" s="106"/>
      <c r="H105" s="100"/>
      <c r="I105" s="85"/>
      <c r="J105" s="86"/>
      <c r="K105" s="86"/>
      <c r="L105" s="106"/>
      <c r="M105" s="101"/>
      <c r="N105" s="86"/>
      <c r="O105" s="104"/>
      <c r="P105" s="102" t="str">
        <f>IF(OR(C105="",D105=""),"",IF(OR(C105&gt;'⚙ Dashboard Settings'!$I$9,C105&lt;'⚙ Dashboard Settings'!$I$10,D105&gt;'⚙ Dashboard Settings'!$I$11),"⚠ ALERT","OK"))</f>
        <v/>
      </c>
      <c r="Q105" s="103" t="str">
        <f t="shared" si="3"/>
        <v/>
      </c>
    </row>
    <row r="106" spans="2:17" ht="14.25" customHeight="1" x14ac:dyDescent="0.25">
      <c r="B106" s="105"/>
      <c r="C106" s="99"/>
      <c r="D106" s="85"/>
      <c r="E106" s="85"/>
      <c r="F106" s="85"/>
      <c r="G106" s="106"/>
      <c r="H106" s="100"/>
      <c r="I106" s="85"/>
      <c r="J106" s="86"/>
      <c r="K106" s="86"/>
      <c r="L106" s="106"/>
      <c r="M106" s="101"/>
      <c r="N106" s="86"/>
      <c r="O106" s="104"/>
      <c r="P106" s="102" t="str">
        <f>IF(OR(C106="",D106=""),"",IF(OR(C106&gt;'⚙ Dashboard Settings'!$I$9,C106&lt;'⚙ Dashboard Settings'!$I$10,D106&gt;'⚙ Dashboard Settings'!$I$11),"⚠ ALERT","OK"))</f>
        <v/>
      </c>
      <c r="Q106" s="103" t="str">
        <f t="shared" si="3"/>
        <v/>
      </c>
    </row>
    <row r="107" spans="2:17" ht="14.25" customHeight="1" x14ac:dyDescent="0.25">
      <c r="B107" s="105"/>
      <c r="C107" s="99"/>
      <c r="D107" s="85"/>
      <c r="E107" s="85"/>
      <c r="F107" s="85"/>
      <c r="G107" s="106"/>
      <c r="H107" s="100"/>
      <c r="I107" s="85"/>
      <c r="J107" s="86"/>
      <c r="K107" s="86"/>
      <c r="L107" s="106"/>
      <c r="M107" s="101"/>
      <c r="N107" s="86"/>
      <c r="O107" s="104"/>
      <c r="P107" s="102" t="str">
        <f>IF(OR(C107="",D107=""),"",IF(OR(C107&gt;'⚙ Dashboard Settings'!$I$9,C107&lt;'⚙ Dashboard Settings'!$I$10,D107&gt;'⚙ Dashboard Settings'!$I$11),"⚠ ALERT","OK"))</f>
        <v/>
      </c>
      <c r="Q107" s="103" t="str">
        <f t="shared" si="3"/>
        <v/>
      </c>
    </row>
    <row r="108" spans="2:17" ht="14.25" customHeight="1" x14ac:dyDescent="0.25">
      <c r="B108" s="105"/>
      <c r="C108" s="99"/>
      <c r="D108" s="85"/>
      <c r="E108" s="85"/>
      <c r="F108" s="85"/>
      <c r="G108" s="106"/>
      <c r="H108" s="100"/>
      <c r="I108" s="85"/>
      <c r="J108" s="86"/>
      <c r="K108" s="86"/>
      <c r="L108" s="106"/>
      <c r="M108" s="101"/>
      <c r="N108" s="86"/>
      <c r="O108" s="104"/>
      <c r="P108" s="102" t="str">
        <f>IF(OR(C108="",D108=""),"",IF(OR(C108&gt;'⚙ Dashboard Settings'!$I$9,C108&lt;'⚙ Dashboard Settings'!$I$10,D108&gt;'⚙ Dashboard Settings'!$I$11),"⚠ ALERT","OK"))</f>
        <v/>
      </c>
      <c r="Q108" s="103" t="str">
        <f t="shared" si="3"/>
        <v/>
      </c>
    </row>
    <row r="109" spans="2:17" ht="14.25" customHeight="1" x14ac:dyDescent="0.25">
      <c r="B109" s="105"/>
      <c r="C109" s="99"/>
      <c r="D109" s="85"/>
      <c r="E109" s="85"/>
      <c r="F109" s="85"/>
      <c r="G109" s="106"/>
      <c r="H109" s="100"/>
      <c r="I109" s="85"/>
      <c r="J109" s="86"/>
      <c r="K109" s="86"/>
      <c r="L109" s="106"/>
      <c r="M109" s="101"/>
      <c r="N109" s="86"/>
      <c r="O109" s="104"/>
      <c r="P109" s="102" t="str">
        <f>IF(OR(C109="",D109=""),"",IF(OR(C109&gt;'⚙ Dashboard Settings'!$I$9,C109&lt;'⚙ Dashboard Settings'!$I$10,D109&gt;'⚙ Dashboard Settings'!$I$11),"⚠ ALERT","OK"))</f>
        <v/>
      </c>
      <c r="Q109" s="103" t="str">
        <f t="shared" si="3"/>
        <v/>
      </c>
    </row>
    <row r="110" spans="2:17" ht="14.25" customHeight="1" x14ac:dyDescent="0.25">
      <c r="B110" s="105"/>
      <c r="C110" s="99"/>
      <c r="D110" s="85"/>
      <c r="E110" s="85"/>
      <c r="F110" s="85"/>
      <c r="G110" s="106"/>
      <c r="H110" s="100"/>
      <c r="I110" s="85"/>
      <c r="J110" s="86"/>
      <c r="K110" s="86"/>
      <c r="L110" s="106"/>
      <c r="M110" s="101"/>
      <c r="N110" s="86"/>
      <c r="O110" s="104"/>
      <c r="P110" s="102" t="str">
        <f>IF(OR(C110="",D110=""),"",IF(OR(C110&gt;'⚙ Dashboard Settings'!$I$9,C110&lt;'⚙ Dashboard Settings'!$I$10,D110&gt;'⚙ Dashboard Settings'!$I$11),"⚠ ALERT","OK"))</f>
        <v/>
      </c>
      <c r="Q110" s="103" t="str">
        <f t="shared" si="3"/>
        <v/>
      </c>
    </row>
    <row r="111" spans="2:17" ht="14.25" customHeight="1" x14ac:dyDescent="0.25">
      <c r="B111" s="105"/>
      <c r="C111" s="99"/>
      <c r="D111" s="85"/>
      <c r="E111" s="85"/>
      <c r="F111" s="85"/>
      <c r="G111" s="106"/>
      <c r="H111" s="100"/>
      <c r="I111" s="85"/>
      <c r="J111" s="86"/>
      <c r="K111" s="86"/>
      <c r="L111" s="106"/>
      <c r="M111" s="101"/>
      <c r="N111" s="86"/>
      <c r="O111" s="104"/>
      <c r="P111" s="102" t="str">
        <f>IF(OR(C111="",D111=""),"",IF(OR(C111&gt;'⚙ Dashboard Settings'!$I$9,C111&lt;'⚙ Dashboard Settings'!$I$10,D111&gt;'⚙ Dashboard Settings'!$I$11),"⚠ ALERT","OK"))</f>
        <v/>
      </c>
      <c r="Q111" s="103" t="str">
        <f t="shared" si="3"/>
        <v/>
      </c>
    </row>
    <row r="112" spans="2:17" ht="14.25" customHeight="1" x14ac:dyDescent="0.25">
      <c r="B112" s="105"/>
      <c r="C112" s="99"/>
      <c r="D112" s="85"/>
      <c r="E112" s="85"/>
      <c r="F112" s="85"/>
      <c r="G112" s="106"/>
      <c r="H112" s="100"/>
      <c r="I112" s="85"/>
      <c r="J112" s="86"/>
      <c r="K112" s="86"/>
      <c r="L112" s="106"/>
      <c r="M112" s="101"/>
      <c r="N112" s="86"/>
      <c r="O112" s="104"/>
      <c r="P112" s="102" t="str">
        <f>IF(OR(C112="",D112=""),"",IF(OR(C112&gt;'⚙ Dashboard Settings'!$I$9,C112&lt;'⚙ Dashboard Settings'!$I$10,D112&gt;'⚙ Dashboard Settings'!$I$11),"⚠ ALERT","OK"))</f>
        <v/>
      </c>
      <c r="Q112" s="103" t="str">
        <f t="shared" si="3"/>
        <v/>
      </c>
    </row>
    <row r="113" spans="2:17" ht="14.25" customHeight="1" x14ac:dyDescent="0.25">
      <c r="B113" s="105"/>
      <c r="C113" s="99"/>
      <c r="D113" s="85"/>
      <c r="E113" s="85"/>
      <c r="F113" s="85"/>
      <c r="G113" s="106"/>
      <c r="H113" s="100"/>
      <c r="I113" s="85"/>
      <c r="J113" s="86"/>
      <c r="K113" s="86"/>
      <c r="L113" s="106"/>
      <c r="M113" s="101"/>
      <c r="N113" s="86"/>
      <c r="O113" s="104"/>
      <c r="P113" s="102" t="str">
        <f>IF(OR(C113="",D113=""),"",IF(OR(C113&gt;'⚙ Dashboard Settings'!$I$9,C113&lt;'⚙ Dashboard Settings'!$I$10,D113&gt;'⚙ Dashboard Settings'!$I$11),"⚠ ALERT","OK"))</f>
        <v/>
      </c>
      <c r="Q113" s="103" t="str">
        <f t="shared" si="3"/>
        <v/>
      </c>
    </row>
    <row r="114" spans="2:17" ht="4.5" customHeight="1" x14ac:dyDescent="0.25"/>
    <row r="115" spans="2:17" ht="30" customHeight="1" x14ac:dyDescent="0.25">
      <c r="B115" s="130" t="s">
        <v>107</v>
      </c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</row>
    <row r="116" spans="2:17" ht="4.5" customHeight="1" x14ac:dyDescent="0.25"/>
  </sheetData>
  <mergeCells count="3">
    <mergeCell ref="B115:Q115"/>
    <mergeCell ref="B1:Q1"/>
    <mergeCell ref="B2:Q2"/>
  </mergeCells>
  <conditionalFormatting sqref="C4:C113">
    <cfRule type="cellIs" dxfId="17" priority="1" operator="greaterThan">
      <formula>Lim_BP_SysHigh</formula>
    </cfRule>
    <cfRule type="cellIs" dxfId="16" priority="2" operator="lessThan">
      <formula>Lim_BP_SysLow</formula>
    </cfRule>
  </conditionalFormatting>
  <conditionalFormatting sqref="D4:D113">
    <cfRule type="cellIs" dxfId="15" priority="3" operator="greaterThan">
      <formula>Lim_BP_DiaHigh</formula>
    </cfRule>
  </conditionalFormatting>
  <conditionalFormatting sqref="F4:F113">
    <cfRule type="cellIs" dxfId="14" priority="4" operator="lessThan">
      <formula>94</formula>
    </cfRule>
  </conditionalFormatting>
  <conditionalFormatting sqref="I4:I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:I11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:M113">
    <cfRule type="cellIs" dxfId="13" priority="6" operator="greaterThan">
      <formula>Lim_Sugar_Alert</formula>
    </cfRule>
  </conditionalFormatting>
  <printOptions horizontalCentered="1"/>
  <pageMargins left="0.3" right="0.3" top="0.4" bottom="0.4" header="0.2" footer="0.2"/>
  <pageSetup paperSize="9" fitToHeight="3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5CDD-2A3E-43D8-8B18-8B2C875A327B}">
  <sheetPr>
    <tabColor rgb="FFC55A11"/>
    <pageSetUpPr fitToPage="1"/>
  </sheetPr>
  <dimension ref="B1:Z44"/>
  <sheetViews>
    <sheetView showGridLines="0" zoomScaleNormal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J8" sqref="J8"/>
    </sheetView>
  </sheetViews>
  <sheetFormatPr defaultColWidth="8.7109375" defaultRowHeight="15" x14ac:dyDescent="0.25"/>
  <cols>
    <col min="1" max="1" width="3" customWidth="1"/>
    <col min="2" max="2" width="28" customWidth="1"/>
    <col min="3" max="3" width="8" customWidth="1"/>
    <col min="4" max="4" width="15" customWidth="1"/>
    <col min="5" max="5" width="18" customWidth="1"/>
    <col min="6" max="16" width="12" customWidth="1"/>
  </cols>
  <sheetData>
    <row r="1" spans="2:26" ht="36" customHeight="1" x14ac:dyDescent="0.25">
      <c r="B1" s="131" t="s">
        <v>108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 spans="2:26" ht="15.75" customHeight="1" x14ac:dyDescent="0.25">
      <c r="B2" s="136" t="s">
        <v>109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2:26" ht="36" customHeight="1" x14ac:dyDescent="0.25">
      <c r="B3" s="2" t="s">
        <v>110</v>
      </c>
      <c r="C3" s="2" t="s">
        <v>111</v>
      </c>
      <c r="D3" s="2" t="s">
        <v>112</v>
      </c>
      <c r="E3" s="2" t="s">
        <v>113</v>
      </c>
      <c r="F3" s="2" t="s">
        <v>114</v>
      </c>
      <c r="G3" s="4" t="s">
        <v>115</v>
      </c>
      <c r="H3" s="4" t="s">
        <v>116</v>
      </c>
      <c r="I3" s="4" t="s">
        <v>117</v>
      </c>
      <c r="J3" s="4" t="s">
        <v>118</v>
      </c>
      <c r="K3" s="4" t="s">
        <v>119</v>
      </c>
      <c r="L3" s="4" t="s">
        <v>120</v>
      </c>
      <c r="M3" s="4" t="s">
        <v>121</v>
      </c>
      <c r="N3" s="4" t="s">
        <v>122</v>
      </c>
      <c r="O3" s="4" t="s">
        <v>123</v>
      </c>
      <c r="P3" s="4" t="s">
        <v>124</v>
      </c>
      <c r="Q3" s="4" t="s">
        <v>125</v>
      </c>
      <c r="R3" s="4" t="s">
        <v>126</v>
      </c>
      <c r="S3" s="4" t="s">
        <v>127</v>
      </c>
      <c r="T3" s="4" t="s">
        <v>128</v>
      </c>
      <c r="U3" s="4" t="s">
        <v>129</v>
      </c>
      <c r="V3" s="4" t="s">
        <v>130</v>
      </c>
      <c r="W3" s="4" t="s">
        <v>131</v>
      </c>
      <c r="X3" s="4" t="s">
        <v>132</v>
      </c>
      <c r="Y3" s="4" t="s">
        <v>133</v>
      </c>
      <c r="Z3" s="4" t="s">
        <v>134</v>
      </c>
    </row>
    <row r="4" spans="2:26" ht="24.75" customHeight="1" x14ac:dyDescent="0.25">
      <c r="B4" s="5" t="s">
        <v>135</v>
      </c>
      <c r="G4" s="21"/>
      <c r="H4" s="22"/>
      <c r="I4" s="22"/>
      <c r="J4" s="22"/>
      <c r="K4" s="22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2:26" ht="18" customHeight="1" x14ac:dyDescent="0.25">
      <c r="B5" s="134" t="s">
        <v>136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</row>
    <row r="6" spans="2:26" ht="18" customHeight="1" x14ac:dyDescent="0.25">
      <c r="B6" s="7" t="s">
        <v>137</v>
      </c>
      <c r="C6" s="13" t="s">
        <v>138</v>
      </c>
      <c r="D6" s="13" t="s">
        <v>139</v>
      </c>
      <c r="E6" s="13" t="s">
        <v>140</v>
      </c>
      <c r="F6" s="13" t="s">
        <v>141</v>
      </c>
      <c r="G6" s="20"/>
      <c r="H6" s="23"/>
      <c r="I6" s="23"/>
      <c r="J6" s="3"/>
      <c r="K6" s="23"/>
      <c r="L6" s="3"/>
      <c r="M6" s="3"/>
      <c r="N6" s="3"/>
      <c r="O6" s="3"/>
      <c r="P6" s="3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2:26" ht="18" customHeight="1" x14ac:dyDescent="0.25">
      <c r="B7" s="7" t="s">
        <v>142</v>
      </c>
      <c r="C7" s="13" t="s">
        <v>143</v>
      </c>
      <c r="D7" s="13" t="s">
        <v>144</v>
      </c>
      <c r="E7" s="13" t="s">
        <v>145</v>
      </c>
      <c r="F7" s="13" t="s">
        <v>141</v>
      </c>
      <c r="G7" s="20"/>
      <c r="H7" s="24"/>
      <c r="I7" s="23"/>
      <c r="J7" s="3"/>
      <c r="K7" s="23"/>
      <c r="L7" s="3"/>
      <c r="M7" s="3"/>
      <c r="N7" s="3"/>
      <c r="O7" s="3"/>
      <c r="P7" s="3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2:26" ht="18" customHeight="1" x14ac:dyDescent="0.25">
      <c r="B8" s="7" t="s">
        <v>146</v>
      </c>
      <c r="C8" s="13" t="s">
        <v>147</v>
      </c>
      <c r="D8" s="13" t="s">
        <v>148</v>
      </c>
      <c r="E8" s="13" t="s">
        <v>149</v>
      </c>
      <c r="F8" s="13" t="s">
        <v>141</v>
      </c>
      <c r="G8" s="20"/>
      <c r="H8" s="23"/>
      <c r="I8" s="23"/>
      <c r="J8" s="3"/>
      <c r="K8" s="3"/>
      <c r="L8" s="3"/>
      <c r="M8" s="3"/>
      <c r="N8" s="3"/>
      <c r="O8" s="3"/>
      <c r="P8" s="3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2:26" ht="18" customHeight="1" x14ac:dyDescent="0.25">
      <c r="B9" s="134" t="s">
        <v>150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</row>
    <row r="10" spans="2:26" ht="18" customHeight="1" x14ac:dyDescent="0.25">
      <c r="B10" s="7" t="s">
        <v>151</v>
      </c>
      <c r="C10" s="13" t="s">
        <v>138</v>
      </c>
      <c r="D10" s="13" t="s">
        <v>152</v>
      </c>
      <c r="E10" s="13" t="s">
        <v>153</v>
      </c>
      <c r="F10" s="13" t="s">
        <v>141</v>
      </c>
      <c r="G10" s="20"/>
      <c r="H10" s="23"/>
      <c r="I10" s="23"/>
      <c r="J10" s="3"/>
      <c r="K10" s="23"/>
      <c r="L10" s="3"/>
      <c r="M10" s="3"/>
      <c r="N10" s="3"/>
      <c r="O10" s="3"/>
      <c r="P10" s="3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6" ht="18" customHeight="1" x14ac:dyDescent="0.25">
      <c r="B11" s="7" t="s">
        <v>154</v>
      </c>
      <c r="C11" s="13" t="s">
        <v>138</v>
      </c>
      <c r="D11" s="13" t="s">
        <v>155</v>
      </c>
      <c r="E11" s="13" t="s">
        <v>155</v>
      </c>
      <c r="F11" s="13" t="s">
        <v>141</v>
      </c>
      <c r="G11" s="20"/>
      <c r="H11" s="23"/>
      <c r="I11" s="23"/>
      <c r="J11" s="3"/>
      <c r="K11" s="23"/>
      <c r="L11" s="3"/>
      <c r="M11" s="3"/>
      <c r="N11" s="3"/>
      <c r="O11" s="3"/>
      <c r="P11" s="3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2:26" ht="18" customHeight="1" x14ac:dyDescent="0.25">
      <c r="B12" s="7" t="s">
        <v>156</v>
      </c>
      <c r="C12" s="13" t="s">
        <v>138</v>
      </c>
      <c r="D12" s="13" t="s">
        <v>157</v>
      </c>
      <c r="E12" s="13" t="s">
        <v>158</v>
      </c>
      <c r="F12" s="13" t="s">
        <v>141</v>
      </c>
      <c r="G12" s="20"/>
      <c r="H12" s="23"/>
      <c r="I12" s="23"/>
      <c r="J12" s="3"/>
      <c r="K12" s="23"/>
      <c r="L12" s="3"/>
      <c r="M12" s="3"/>
      <c r="N12" s="3"/>
      <c r="O12" s="3"/>
      <c r="P12" s="3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2:26" ht="18" customHeight="1" x14ac:dyDescent="0.25">
      <c r="B13" s="7" t="s">
        <v>159</v>
      </c>
      <c r="C13" s="13" t="s">
        <v>160</v>
      </c>
      <c r="D13" s="13" t="s">
        <v>161</v>
      </c>
      <c r="E13" s="13" t="s">
        <v>161</v>
      </c>
      <c r="F13" s="13" t="s">
        <v>141</v>
      </c>
      <c r="G13" s="20"/>
      <c r="H13" s="23"/>
      <c r="I13" s="23"/>
      <c r="J13" s="3"/>
      <c r="K13" s="23"/>
      <c r="L13" s="3"/>
      <c r="M13" s="3"/>
      <c r="N13" s="3"/>
      <c r="O13" s="3"/>
      <c r="P13" s="3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8" customHeight="1" x14ac:dyDescent="0.25">
      <c r="B14" s="7" t="s">
        <v>162</v>
      </c>
      <c r="C14" s="13" t="s">
        <v>160</v>
      </c>
      <c r="D14" s="13" t="s">
        <v>163</v>
      </c>
      <c r="E14" s="13" t="s">
        <v>163</v>
      </c>
      <c r="F14" s="13" t="s">
        <v>141</v>
      </c>
      <c r="G14" s="20"/>
      <c r="H14" s="23"/>
      <c r="I14" s="23"/>
      <c r="J14" s="3"/>
      <c r="K14" s="23"/>
      <c r="L14" s="3"/>
      <c r="M14" s="3"/>
      <c r="N14" s="3"/>
      <c r="O14" s="3"/>
      <c r="P14" s="3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8" customHeight="1" x14ac:dyDescent="0.25">
      <c r="B15" s="7" t="s">
        <v>164</v>
      </c>
      <c r="C15" s="13" t="s">
        <v>160</v>
      </c>
      <c r="D15" s="13" t="s">
        <v>165</v>
      </c>
      <c r="E15" s="13" t="s">
        <v>165</v>
      </c>
      <c r="F15" s="13" t="s">
        <v>141</v>
      </c>
      <c r="G15" s="20"/>
      <c r="H15" s="24"/>
      <c r="I15" s="3"/>
      <c r="J15" s="3"/>
      <c r="K15" s="3"/>
      <c r="L15" s="3"/>
      <c r="M15" s="3"/>
      <c r="N15" s="3"/>
      <c r="O15" s="3"/>
      <c r="P15" s="3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2:26" ht="18" customHeight="1" x14ac:dyDescent="0.25">
      <c r="B16" s="134" t="s">
        <v>166</v>
      </c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</row>
    <row r="17" spans="2:26" ht="18" customHeight="1" x14ac:dyDescent="0.25">
      <c r="B17" s="7" t="s">
        <v>167</v>
      </c>
      <c r="C17" s="13" t="s">
        <v>138</v>
      </c>
      <c r="D17" s="13" t="s">
        <v>168</v>
      </c>
      <c r="E17" s="13" t="s">
        <v>169</v>
      </c>
      <c r="F17" s="13" t="s">
        <v>141</v>
      </c>
      <c r="G17" s="20"/>
      <c r="H17" s="23"/>
      <c r="I17" s="3"/>
      <c r="J17" s="3"/>
      <c r="K17" s="3"/>
      <c r="L17" s="3"/>
      <c r="M17" s="3"/>
      <c r="N17" s="3"/>
      <c r="O17" s="3"/>
      <c r="P17" s="3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6" ht="18" customHeight="1" x14ac:dyDescent="0.25">
      <c r="B18" s="7" t="s">
        <v>170</v>
      </c>
      <c r="C18" s="13" t="s">
        <v>138</v>
      </c>
      <c r="D18" s="13" t="s">
        <v>171</v>
      </c>
      <c r="E18" s="13" t="s">
        <v>172</v>
      </c>
      <c r="F18" s="13" t="s">
        <v>141</v>
      </c>
      <c r="G18" s="20"/>
      <c r="H18" s="23"/>
      <c r="I18" s="3"/>
      <c r="J18" s="3"/>
      <c r="K18" s="3"/>
      <c r="L18" s="3"/>
      <c r="M18" s="3"/>
      <c r="N18" s="3"/>
      <c r="O18" s="3"/>
      <c r="P18" s="3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2:26" ht="18" customHeight="1" x14ac:dyDescent="0.25">
      <c r="B19" s="7" t="s">
        <v>173</v>
      </c>
      <c r="C19" s="13" t="s">
        <v>174</v>
      </c>
      <c r="D19" s="13" t="s">
        <v>175</v>
      </c>
      <c r="E19" s="13" t="s">
        <v>176</v>
      </c>
      <c r="F19" s="13" t="s">
        <v>177</v>
      </c>
      <c r="G19" s="20"/>
      <c r="H19" s="24"/>
      <c r="I19" s="23"/>
      <c r="J19" s="3"/>
      <c r="K19" s="3"/>
      <c r="L19" s="3"/>
      <c r="M19" s="3"/>
      <c r="N19" s="3"/>
      <c r="O19" s="3"/>
      <c r="P19" s="3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2:26" ht="18" customHeight="1" x14ac:dyDescent="0.25">
      <c r="B20" s="134" t="s">
        <v>178</v>
      </c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</row>
    <row r="21" spans="2:26" ht="18" customHeight="1" x14ac:dyDescent="0.25">
      <c r="B21" s="7" t="s">
        <v>179</v>
      </c>
      <c r="C21" s="13" t="s">
        <v>180</v>
      </c>
      <c r="D21" s="13" t="s">
        <v>181</v>
      </c>
      <c r="E21" s="13" t="s">
        <v>182</v>
      </c>
      <c r="F21" s="13" t="s">
        <v>141</v>
      </c>
      <c r="G21" s="20"/>
      <c r="H21" s="23"/>
      <c r="I21" s="23"/>
      <c r="J21" s="3"/>
      <c r="K21" s="23"/>
      <c r="L21" s="3"/>
      <c r="M21" s="3"/>
      <c r="N21" s="3"/>
      <c r="O21" s="3"/>
      <c r="P21" s="3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2:26" ht="18" customHeight="1" x14ac:dyDescent="0.25">
      <c r="B22" s="7" t="s">
        <v>183</v>
      </c>
      <c r="C22" s="13" t="s">
        <v>184</v>
      </c>
      <c r="D22" s="13" t="s">
        <v>185</v>
      </c>
      <c r="E22" s="13" t="s">
        <v>186</v>
      </c>
      <c r="F22" s="13" t="s">
        <v>141</v>
      </c>
      <c r="G22" s="20"/>
      <c r="H22" s="23"/>
      <c r="I22" s="23"/>
      <c r="J22" s="3"/>
      <c r="K22" s="23"/>
      <c r="L22" s="3"/>
      <c r="M22" s="3"/>
      <c r="N22" s="3"/>
      <c r="O22" s="3"/>
      <c r="P22" s="3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2:26" ht="18" customHeight="1" x14ac:dyDescent="0.25">
      <c r="B23" s="7" t="s">
        <v>187</v>
      </c>
      <c r="C23" s="13" t="s">
        <v>184</v>
      </c>
      <c r="D23" s="13" t="s">
        <v>188</v>
      </c>
      <c r="E23" s="13" t="s">
        <v>189</v>
      </c>
      <c r="F23" s="13" t="s">
        <v>141</v>
      </c>
      <c r="G23" s="20"/>
      <c r="H23" s="23"/>
      <c r="I23" s="23"/>
      <c r="J23" s="3"/>
      <c r="K23" s="23"/>
      <c r="L23" s="3"/>
      <c r="M23" s="3"/>
      <c r="N23" s="3"/>
      <c r="O23" s="3"/>
      <c r="P23" s="3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2:26" ht="18" customHeight="1" x14ac:dyDescent="0.25">
      <c r="B24" s="134" t="s">
        <v>190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</row>
    <row r="25" spans="2:26" ht="18" customHeight="1" x14ac:dyDescent="0.25">
      <c r="B25" s="7" t="s">
        <v>191</v>
      </c>
      <c r="C25" s="13" t="s">
        <v>180</v>
      </c>
      <c r="D25" s="13" t="s">
        <v>161</v>
      </c>
      <c r="E25" s="13" t="s">
        <v>161</v>
      </c>
      <c r="F25" s="13" t="s">
        <v>141</v>
      </c>
      <c r="G25" s="20"/>
      <c r="H25" s="23"/>
      <c r="I25" s="23"/>
      <c r="J25" s="3"/>
      <c r="K25" s="23"/>
      <c r="L25" s="3"/>
      <c r="M25" s="3"/>
      <c r="N25" s="3"/>
      <c r="O25" s="3"/>
      <c r="P25" s="3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2:26" ht="18" customHeight="1" x14ac:dyDescent="0.25">
      <c r="B26" s="7" t="s">
        <v>192</v>
      </c>
      <c r="C26" s="13" t="s">
        <v>138</v>
      </c>
      <c r="D26" s="13" t="s">
        <v>193</v>
      </c>
      <c r="E26" s="13" t="s">
        <v>193</v>
      </c>
      <c r="F26" s="13" t="s">
        <v>177</v>
      </c>
      <c r="G26" s="20"/>
      <c r="H26" s="24"/>
      <c r="I26" s="3"/>
      <c r="J26" s="3"/>
      <c r="K26" s="23"/>
      <c r="L26" s="3"/>
      <c r="M26" s="3"/>
      <c r="N26" s="3"/>
      <c r="O26" s="3"/>
      <c r="P26" s="3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2:26" ht="18" customHeight="1" x14ac:dyDescent="0.25">
      <c r="B27" s="7" t="s">
        <v>194</v>
      </c>
      <c r="C27" s="13" t="s">
        <v>195</v>
      </c>
      <c r="D27" s="13" t="s">
        <v>196</v>
      </c>
      <c r="E27" s="13" t="s">
        <v>196</v>
      </c>
      <c r="F27" s="13" t="s">
        <v>177</v>
      </c>
      <c r="G27" s="20"/>
      <c r="H27" s="24"/>
      <c r="I27" s="3"/>
      <c r="J27" s="3"/>
      <c r="K27" s="23"/>
      <c r="L27" s="3"/>
      <c r="M27" s="3"/>
      <c r="N27" s="3"/>
      <c r="O27" s="3"/>
      <c r="P27" s="3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2:26" ht="18" customHeight="1" x14ac:dyDescent="0.25">
      <c r="B28" s="7" t="s">
        <v>197</v>
      </c>
      <c r="C28" s="13" t="s">
        <v>195</v>
      </c>
      <c r="D28" s="13" t="s">
        <v>198</v>
      </c>
      <c r="E28" s="13" t="s">
        <v>198</v>
      </c>
      <c r="F28" s="13" t="s">
        <v>177</v>
      </c>
      <c r="G28" s="20"/>
      <c r="H28" s="24"/>
      <c r="I28" s="3"/>
      <c r="J28" s="3"/>
      <c r="K28" s="23"/>
      <c r="L28" s="3"/>
      <c r="M28" s="3"/>
      <c r="N28" s="3"/>
      <c r="O28" s="3"/>
      <c r="P28" s="3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2:26" ht="18" customHeight="1" x14ac:dyDescent="0.25">
      <c r="B29" s="7" t="s">
        <v>199</v>
      </c>
      <c r="C29" s="13" t="s">
        <v>138</v>
      </c>
      <c r="D29" s="13" t="s">
        <v>200</v>
      </c>
      <c r="E29" s="13" t="s">
        <v>200</v>
      </c>
      <c r="F29" s="13" t="s">
        <v>177</v>
      </c>
      <c r="G29" s="20"/>
      <c r="H29" s="24"/>
      <c r="I29" s="23"/>
      <c r="J29" s="3"/>
      <c r="K29" s="23"/>
      <c r="L29" s="3"/>
      <c r="M29" s="3"/>
      <c r="N29" s="3"/>
      <c r="O29" s="3"/>
      <c r="P29" s="3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26" ht="18" customHeight="1" x14ac:dyDescent="0.25">
      <c r="B30" s="134" t="s">
        <v>201</v>
      </c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</row>
    <row r="31" spans="2:26" ht="18" customHeight="1" x14ac:dyDescent="0.25">
      <c r="B31" s="7" t="s">
        <v>202</v>
      </c>
      <c r="C31" s="13" t="s">
        <v>147</v>
      </c>
      <c r="D31" s="13" t="s">
        <v>203</v>
      </c>
      <c r="E31" s="13" t="s">
        <v>203</v>
      </c>
      <c r="F31" s="13" t="s">
        <v>177</v>
      </c>
      <c r="G31" s="20"/>
      <c r="H31" s="24"/>
      <c r="I31" s="3"/>
      <c r="J31" s="3"/>
      <c r="K31" s="3"/>
      <c r="L31" s="3"/>
      <c r="M31" s="3"/>
      <c r="N31" s="3"/>
      <c r="O31" s="3"/>
      <c r="P31" s="3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2:26" ht="36.75" customHeight="1" x14ac:dyDescent="0.25">
      <c r="B32" s="7" t="s">
        <v>204</v>
      </c>
      <c r="C32" s="13" t="s">
        <v>205</v>
      </c>
      <c r="D32" s="13" t="s">
        <v>206</v>
      </c>
      <c r="E32" s="13" t="s">
        <v>207</v>
      </c>
      <c r="F32" s="13" t="s">
        <v>208</v>
      </c>
      <c r="G32" s="20"/>
      <c r="H32" s="23"/>
      <c r="I32" s="3"/>
      <c r="J32" s="3"/>
      <c r="K32" s="3"/>
      <c r="L32" s="3"/>
      <c r="M32" s="3"/>
      <c r="N32" s="3"/>
      <c r="O32" s="3"/>
      <c r="P32" s="3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2:26" ht="25.5" customHeight="1" x14ac:dyDescent="0.25">
      <c r="B33" s="7" t="s">
        <v>209</v>
      </c>
      <c r="C33" s="13" t="s">
        <v>205</v>
      </c>
      <c r="D33" s="13" t="s">
        <v>206</v>
      </c>
      <c r="E33" s="13" t="s">
        <v>210</v>
      </c>
      <c r="F33" s="13" t="s">
        <v>211</v>
      </c>
      <c r="G33" s="20"/>
      <c r="H33" s="24"/>
      <c r="I33" s="3"/>
      <c r="J33" s="3"/>
      <c r="K33" s="3"/>
      <c r="L33" s="3"/>
      <c r="M33" s="3"/>
      <c r="N33" s="3"/>
      <c r="O33" s="3"/>
      <c r="P33" s="3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2:26" ht="18" customHeight="1" x14ac:dyDescent="0.25">
      <c r="B34" s="134" t="s">
        <v>212</v>
      </c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</row>
    <row r="35" spans="2:26" ht="18" customHeight="1" x14ac:dyDescent="0.25">
      <c r="B35" s="7" t="s">
        <v>213</v>
      </c>
      <c r="C35" s="13" t="s">
        <v>214</v>
      </c>
      <c r="D35" s="13" t="s">
        <v>148</v>
      </c>
      <c r="E35" s="13" t="s">
        <v>215</v>
      </c>
      <c r="F35" s="13" t="s">
        <v>141</v>
      </c>
      <c r="G35" s="20"/>
      <c r="H35" s="23"/>
      <c r="I35" s="23"/>
      <c r="J35" s="3"/>
      <c r="K35" s="3"/>
      <c r="L35" s="3"/>
      <c r="M35" s="3"/>
      <c r="N35" s="3"/>
      <c r="O35" s="3"/>
      <c r="P35" s="3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2:26" ht="24" customHeight="1" x14ac:dyDescent="0.25">
      <c r="B36" s="7" t="s">
        <v>216</v>
      </c>
      <c r="C36" s="13" t="s">
        <v>217</v>
      </c>
      <c r="D36" s="13" t="s">
        <v>218</v>
      </c>
      <c r="E36" s="13" t="s">
        <v>218</v>
      </c>
      <c r="F36" s="13" t="s">
        <v>141</v>
      </c>
      <c r="G36" s="20"/>
      <c r="H36" s="23"/>
      <c r="I36" s="23"/>
      <c r="J36" s="3"/>
      <c r="K36" s="3"/>
      <c r="L36" s="3"/>
      <c r="M36" s="3"/>
      <c r="N36" s="3"/>
      <c r="O36" s="3"/>
      <c r="P36" s="3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2:26" ht="27" customHeight="1" x14ac:dyDescent="0.25">
      <c r="B37" s="7" t="s">
        <v>219</v>
      </c>
      <c r="C37" s="13" t="s">
        <v>214</v>
      </c>
      <c r="D37" s="13" t="s">
        <v>148</v>
      </c>
      <c r="E37" s="13" t="s">
        <v>220</v>
      </c>
      <c r="F37" s="13" t="s">
        <v>221</v>
      </c>
      <c r="G37" s="20"/>
      <c r="H37" s="24"/>
      <c r="I37" s="3"/>
      <c r="J37" s="3"/>
      <c r="K37" s="3"/>
      <c r="L37" s="3"/>
      <c r="M37" s="3"/>
      <c r="N37" s="3"/>
      <c r="O37" s="3"/>
      <c r="P37" s="3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2:26" ht="18" customHeight="1" x14ac:dyDescent="0.25">
      <c r="B38" s="7" t="s">
        <v>222</v>
      </c>
      <c r="C38" s="13" t="s">
        <v>223</v>
      </c>
      <c r="D38" s="13" t="s">
        <v>224</v>
      </c>
      <c r="E38" s="13" t="s">
        <v>225</v>
      </c>
      <c r="F38" s="13" t="s">
        <v>141</v>
      </c>
      <c r="G38" s="20"/>
      <c r="H38" s="23"/>
      <c r="I38" s="23"/>
      <c r="J38" s="3"/>
      <c r="K38" s="23"/>
      <c r="L38" s="3"/>
      <c r="M38" s="3"/>
      <c r="N38" s="3"/>
      <c r="O38" s="3"/>
      <c r="P38" s="3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2:26" ht="18" customHeight="1" x14ac:dyDescent="0.25">
      <c r="B39" s="7" t="s">
        <v>226</v>
      </c>
      <c r="C39" s="13" t="s">
        <v>227</v>
      </c>
      <c r="D39" s="13" t="s">
        <v>224</v>
      </c>
      <c r="E39" s="13" t="s">
        <v>225</v>
      </c>
      <c r="F39" s="13" t="s">
        <v>228</v>
      </c>
      <c r="G39" s="20"/>
      <c r="H39" s="24"/>
      <c r="I39" s="3"/>
      <c r="J39" s="3"/>
      <c r="K39" s="3"/>
      <c r="L39" s="3"/>
      <c r="M39" s="3"/>
      <c r="N39" s="3"/>
      <c r="O39" s="3"/>
      <c r="P39" s="3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2:26" ht="19.5" customHeight="1" x14ac:dyDescent="0.25">
      <c r="B40" s="135" t="s">
        <v>229</v>
      </c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</row>
    <row r="41" spans="2:26" ht="110.1" customHeight="1" x14ac:dyDescent="0.25">
      <c r="B41" s="133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 spans="2:26" ht="69.95" customHeight="1" x14ac:dyDescent="0.25">
      <c r="B42" s="127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 spans="2:26" ht="69.95" customHeight="1" x14ac:dyDescent="0.25">
      <c r="B43" s="127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 spans="2:26" ht="50.1" customHeight="1" x14ac:dyDescent="0.25">
      <c r="B44" s="127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</sheetData>
  <mergeCells count="11">
    <mergeCell ref="B41:Z44"/>
    <mergeCell ref="B5:Z5"/>
    <mergeCell ref="B40:Z40"/>
    <mergeCell ref="B9:Z9"/>
    <mergeCell ref="B1:Z1"/>
    <mergeCell ref="B30:Z30"/>
    <mergeCell ref="B24:Z24"/>
    <mergeCell ref="B16:Z16"/>
    <mergeCell ref="B2:Z2"/>
    <mergeCell ref="B34:Z34"/>
    <mergeCell ref="B20:Z20"/>
  </mergeCells>
  <dataValidations count="1">
    <dataValidation type="custom" allowBlank="1" showInputMessage="1" showErrorMessage="1" errorTitle="Date order" error="Enter test dates OLDEST to NEWEST, left to right, as a proper date (e.g. 05-Oct-2026), with no empty column in between. This date is earlier than a date already entered, or an earlier column is empty." promptTitle="Test date" prompt="Type the date of this test (dd-mmm-yyyy). Oldest first, left to right, no empty column in between." sqref="G4:Z4" xr:uid="{00000000-0002-0000-0500-000000000000}">
      <formula1>AND(ISNUMBER(G4),COUNT($G4:G4)=COLUMNS($G4:G4),G4&gt;=MAX($F4:F4))</formula1>
    </dataValidation>
  </dataValidations>
  <pageMargins left="0.75" right="0.75" top="1" bottom="1" header="0.511811023622047" footer="0.511811023622047"/>
  <pageSetup scale="41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3FE9A-9F97-461D-B768-81654BB7C6A1}">
  <sheetPr>
    <tabColor rgb="FF7030A0"/>
    <pageSetUpPr fitToPage="1"/>
  </sheetPr>
  <dimension ref="B1:K104"/>
  <sheetViews>
    <sheetView showGridLines="0" zoomScaleNormal="100" workbookViewId="0">
      <pane xSplit="1" ySplit="4" topLeftCell="B17" activePane="bottomRight" state="frozen"/>
      <selection pane="topRight" activeCell="B1" sqref="B1"/>
      <selection pane="bottomLeft" activeCell="A5" sqref="A5"/>
      <selection pane="bottomRight" activeCell="F20" sqref="F20"/>
    </sheetView>
  </sheetViews>
  <sheetFormatPr defaultColWidth="8.7109375" defaultRowHeight="15" x14ac:dyDescent="0.25"/>
  <cols>
    <col min="1" max="1" width="3" customWidth="1"/>
    <col min="2" max="2" width="28" customWidth="1"/>
    <col min="3" max="3" width="26.5703125" customWidth="1"/>
    <col min="4" max="4" width="22" customWidth="1"/>
    <col min="5" max="5" width="8.85546875" customWidth="1"/>
    <col min="6" max="6" width="17.7109375" customWidth="1"/>
    <col min="7" max="7" width="13" customWidth="1"/>
    <col min="8" max="8" width="10" customWidth="1"/>
    <col min="9" max="9" width="12" customWidth="1"/>
    <col min="10" max="10" width="16.28515625" customWidth="1"/>
    <col min="11" max="11" width="30" customWidth="1"/>
  </cols>
  <sheetData>
    <row r="1" spans="2:11" ht="36" customHeight="1" x14ac:dyDescent="0.25">
      <c r="B1" s="139" t="s">
        <v>230</v>
      </c>
      <c r="C1" s="121"/>
      <c r="D1" s="121"/>
      <c r="E1" s="121"/>
      <c r="F1" s="121"/>
      <c r="G1" s="121"/>
      <c r="H1" s="121"/>
      <c r="I1" s="121"/>
      <c r="J1" s="121"/>
      <c r="K1" s="121"/>
    </row>
    <row r="2" spans="2:11" ht="15.75" customHeight="1" x14ac:dyDescent="0.25">
      <c r="B2" s="136" t="s">
        <v>231</v>
      </c>
      <c r="C2" s="121"/>
      <c r="D2" s="121"/>
      <c r="E2" s="121"/>
      <c r="F2" s="121"/>
      <c r="G2" s="121"/>
      <c r="H2" s="121"/>
      <c r="I2" s="121"/>
      <c r="J2" s="121"/>
      <c r="K2" s="121"/>
    </row>
    <row r="3" spans="2:11" ht="19.5" customHeight="1" x14ac:dyDescent="0.25">
      <c r="B3" s="138" t="s">
        <v>232</v>
      </c>
      <c r="C3" s="124"/>
      <c r="D3" s="124"/>
      <c r="E3" s="140"/>
      <c r="F3" s="124"/>
      <c r="G3" s="124"/>
      <c r="H3" s="141" t="s">
        <v>233</v>
      </c>
      <c r="I3" s="124"/>
      <c r="J3" s="137"/>
      <c r="K3" s="124"/>
    </row>
    <row r="4" spans="2:11" ht="30" customHeight="1" x14ac:dyDescent="0.25">
      <c r="B4" s="2" t="s">
        <v>234</v>
      </c>
      <c r="C4" s="2" t="s">
        <v>235</v>
      </c>
      <c r="D4" s="2" t="s">
        <v>236</v>
      </c>
      <c r="E4" s="2" t="s">
        <v>237</v>
      </c>
      <c r="F4" s="2" t="s">
        <v>238</v>
      </c>
      <c r="G4" s="2" t="s">
        <v>239</v>
      </c>
      <c r="H4" s="2" t="s">
        <v>240</v>
      </c>
      <c r="I4" s="2" t="s">
        <v>241</v>
      </c>
      <c r="J4" s="2" t="s">
        <v>242</v>
      </c>
      <c r="K4" s="2" t="s">
        <v>243</v>
      </c>
    </row>
    <row r="5" spans="2:11" ht="28.5" customHeight="1" x14ac:dyDescent="0.25">
      <c r="B5" s="25"/>
      <c r="C5" s="25"/>
      <c r="D5" s="25"/>
      <c r="E5" s="25"/>
      <c r="F5" s="25"/>
      <c r="G5" s="25"/>
      <c r="H5" s="26"/>
      <c r="I5" s="27"/>
      <c r="J5" s="56"/>
      <c r="K5" s="25"/>
    </row>
    <row r="6" spans="2:11" ht="30" customHeight="1" x14ac:dyDescent="0.25">
      <c r="B6" s="25"/>
      <c r="C6" s="25"/>
      <c r="D6" s="25"/>
      <c r="E6" s="25"/>
      <c r="F6" s="25"/>
      <c r="G6" s="25"/>
      <c r="H6" s="26"/>
      <c r="I6" s="27"/>
      <c r="J6" s="57"/>
      <c r="K6" s="25"/>
    </row>
    <row r="7" spans="2:11" ht="18" customHeight="1" x14ac:dyDescent="0.25">
      <c r="B7" s="25"/>
      <c r="C7" s="25"/>
      <c r="D7" s="25"/>
      <c r="E7" s="25"/>
      <c r="F7" s="25"/>
      <c r="G7" s="25"/>
      <c r="H7" s="26"/>
      <c r="I7" s="27"/>
      <c r="J7" s="56"/>
      <c r="K7" s="25"/>
    </row>
    <row r="8" spans="2:11" ht="18" customHeight="1" x14ac:dyDescent="0.25">
      <c r="B8" s="25"/>
      <c r="C8" s="25"/>
      <c r="D8" s="25"/>
      <c r="E8" s="25"/>
      <c r="F8" s="25"/>
      <c r="G8" s="25"/>
      <c r="H8" s="26"/>
      <c r="I8" s="27"/>
      <c r="J8" s="56"/>
      <c r="K8" s="25"/>
    </row>
    <row r="9" spans="2:11" ht="18" customHeight="1" x14ac:dyDescent="0.25">
      <c r="B9" s="25"/>
      <c r="C9" s="25"/>
      <c r="D9" s="25"/>
      <c r="E9" s="25"/>
      <c r="F9" s="25"/>
      <c r="G9" s="25"/>
      <c r="H9" s="26"/>
      <c r="I9" s="27"/>
      <c r="J9" s="58"/>
      <c r="K9" s="25"/>
    </row>
    <row r="10" spans="2:11" ht="25.5" customHeight="1" x14ac:dyDescent="0.25">
      <c r="B10" s="25"/>
      <c r="C10" s="25"/>
      <c r="D10" s="25"/>
      <c r="E10" s="25"/>
      <c r="F10" s="25"/>
      <c r="G10" s="25"/>
      <c r="H10" s="26"/>
      <c r="I10" s="27"/>
      <c r="J10" s="58"/>
      <c r="K10" s="25"/>
    </row>
    <row r="11" spans="2:11" ht="23.25" customHeight="1" x14ac:dyDescent="0.25">
      <c r="B11" s="25"/>
      <c r="C11" s="25"/>
      <c r="D11" s="25"/>
      <c r="E11" s="25"/>
      <c r="F11" s="25"/>
      <c r="G11" s="25"/>
      <c r="H11" s="26"/>
      <c r="I11" s="27"/>
      <c r="J11" s="57"/>
      <c r="K11" s="25"/>
    </row>
    <row r="12" spans="2:11" ht="28.5" customHeight="1" x14ac:dyDescent="0.25">
      <c r="B12" s="25"/>
      <c r="C12" s="25"/>
      <c r="D12" s="25"/>
      <c r="E12" s="25"/>
      <c r="F12" s="25"/>
      <c r="G12" s="25"/>
      <c r="H12" s="26"/>
      <c r="I12" s="27"/>
      <c r="J12" s="56"/>
      <c r="K12" s="25"/>
    </row>
    <row r="13" spans="2:11" ht="24.75" customHeight="1" x14ac:dyDescent="0.25">
      <c r="B13" s="25"/>
      <c r="C13" s="25"/>
      <c r="D13" s="25"/>
      <c r="E13" s="25"/>
      <c r="F13" s="25"/>
      <c r="G13" s="25"/>
      <c r="H13" s="26"/>
      <c r="I13" s="27"/>
      <c r="J13" s="57"/>
      <c r="K13" s="25"/>
    </row>
    <row r="14" spans="2:11" ht="25.5" customHeight="1" x14ac:dyDescent="0.25">
      <c r="B14" s="25"/>
      <c r="C14" s="25"/>
      <c r="D14" s="25"/>
      <c r="E14" s="25"/>
      <c r="F14" s="25"/>
      <c r="G14" s="25"/>
      <c r="H14" s="26"/>
      <c r="I14" s="27"/>
      <c r="J14" s="57"/>
      <c r="K14" s="25"/>
    </row>
    <row r="15" spans="2:11" ht="24.75" customHeight="1" x14ac:dyDescent="0.25">
      <c r="B15" s="25"/>
      <c r="C15" s="25"/>
      <c r="D15" s="25"/>
      <c r="E15" s="25"/>
      <c r="F15" s="25"/>
      <c r="G15" s="25"/>
      <c r="H15" s="26"/>
      <c r="I15" s="27"/>
      <c r="J15" s="57"/>
      <c r="K15" s="25"/>
    </row>
    <row r="16" spans="2:11" ht="24" customHeight="1" x14ac:dyDescent="0.25">
      <c r="B16" s="25"/>
      <c r="C16" s="25"/>
      <c r="D16" s="25"/>
      <c r="E16" s="25"/>
      <c r="F16" s="25"/>
      <c r="G16" s="25"/>
      <c r="H16" s="26"/>
      <c r="I16" s="27"/>
      <c r="J16" s="58"/>
      <c r="K16" s="25"/>
    </row>
    <row r="17" spans="2:11" ht="24" customHeight="1" x14ac:dyDescent="0.25">
      <c r="B17" s="25"/>
      <c r="C17" s="25"/>
      <c r="D17" s="25"/>
      <c r="E17" s="25"/>
      <c r="F17" s="25"/>
      <c r="G17" s="25"/>
      <c r="H17" s="26"/>
      <c r="I17" s="27"/>
      <c r="J17" s="58"/>
      <c r="K17" s="25"/>
    </row>
    <row r="18" spans="2:11" ht="34.5" customHeight="1" x14ac:dyDescent="0.25">
      <c r="B18" s="25"/>
      <c r="C18" s="25"/>
      <c r="D18" s="25"/>
      <c r="E18" s="25"/>
      <c r="F18" s="25"/>
      <c r="G18" s="25"/>
      <c r="H18" s="26"/>
      <c r="I18" s="27"/>
      <c r="J18" s="56"/>
      <c r="K18" s="25"/>
    </row>
    <row r="19" spans="2:11" ht="25.5" customHeight="1" thickBot="1" x14ac:dyDescent="0.3">
      <c r="B19" s="25"/>
      <c r="C19" s="25"/>
      <c r="D19" s="25"/>
      <c r="E19" s="25"/>
      <c r="F19" s="28"/>
      <c r="G19" s="25"/>
      <c r="H19" s="26"/>
      <c r="I19" s="27"/>
      <c r="J19" s="56"/>
      <c r="K19" s="25"/>
    </row>
    <row r="20" spans="2:11" ht="26.25" customHeight="1" thickBot="1" x14ac:dyDescent="0.3">
      <c r="B20" s="25"/>
      <c r="C20" s="25"/>
      <c r="D20" s="25"/>
      <c r="E20" s="25"/>
      <c r="F20" s="28"/>
      <c r="G20" s="25"/>
      <c r="H20" s="26"/>
      <c r="I20" s="27"/>
      <c r="J20" s="56"/>
      <c r="K20" s="25"/>
    </row>
    <row r="21" spans="2:11" ht="28.5" customHeight="1" x14ac:dyDescent="0.25">
      <c r="B21" s="8"/>
      <c r="C21" s="8"/>
      <c r="D21" s="8"/>
      <c r="E21" s="8"/>
      <c r="F21" s="8"/>
      <c r="G21" s="8"/>
      <c r="H21" s="26"/>
      <c r="I21" s="27"/>
      <c r="J21" s="55"/>
      <c r="K21" s="8"/>
    </row>
    <row r="22" spans="2:11" ht="25.5" customHeight="1" x14ac:dyDescent="0.25">
      <c r="B22" s="25"/>
      <c r="C22" s="25"/>
      <c r="D22" s="25"/>
      <c r="E22" s="25"/>
      <c r="F22" s="25"/>
      <c r="G22" s="25"/>
      <c r="H22" s="26"/>
      <c r="I22" s="27"/>
      <c r="J22" s="57"/>
      <c r="K22" s="25"/>
    </row>
    <row r="23" spans="2:11" ht="24.75" customHeight="1" x14ac:dyDescent="0.25">
      <c r="B23" s="8"/>
      <c r="C23" s="8"/>
      <c r="D23" s="8"/>
      <c r="E23" s="8"/>
      <c r="F23" s="8"/>
      <c r="G23" s="8"/>
      <c r="H23" s="26"/>
      <c r="I23" s="27"/>
      <c r="J23" s="58"/>
      <c r="K23" s="25"/>
    </row>
    <row r="24" spans="2:11" ht="27" customHeight="1" x14ac:dyDescent="0.25">
      <c r="B24" s="8"/>
      <c r="C24" s="8"/>
      <c r="D24" s="8"/>
      <c r="E24" s="8"/>
      <c r="F24" s="8"/>
      <c r="G24" s="8"/>
      <c r="H24" s="26"/>
      <c r="I24" s="27"/>
      <c r="J24" s="57"/>
      <c r="K24" s="25"/>
    </row>
    <row r="25" spans="2:11" ht="18" customHeight="1" x14ac:dyDescent="0.25">
      <c r="B25" s="8"/>
      <c r="C25" s="8"/>
      <c r="D25" s="8"/>
      <c r="E25" s="8"/>
      <c r="F25" s="8"/>
      <c r="G25" s="8"/>
      <c r="H25" s="26"/>
      <c r="I25" s="27"/>
      <c r="J25" s="57"/>
      <c r="K25" s="25"/>
    </row>
    <row r="26" spans="2:11" ht="18" customHeight="1" x14ac:dyDescent="0.25">
      <c r="B26" s="8"/>
      <c r="C26" s="8"/>
      <c r="D26" s="8"/>
      <c r="E26" s="8"/>
      <c r="F26" s="8"/>
      <c r="G26" s="8"/>
      <c r="H26" s="8"/>
      <c r="I26" s="8"/>
      <c r="J26" s="55"/>
      <c r="K26" s="8"/>
    </row>
    <row r="27" spans="2:11" ht="18" customHeight="1" x14ac:dyDescent="0.25">
      <c r="B27" s="8"/>
      <c r="C27" s="8"/>
      <c r="D27" s="8"/>
      <c r="E27" s="8"/>
      <c r="F27" s="8"/>
      <c r="G27" s="8"/>
      <c r="H27" s="8"/>
      <c r="I27" s="8"/>
      <c r="J27" s="55"/>
      <c r="K27" s="8"/>
    </row>
    <row r="28" spans="2:11" ht="18" customHeight="1" x14ac:dyDescent="0.25">
      <c r="B28" s="8"/>
      <c r="C28" s="8"/>
      <c r="D28" s="8"/>
      <c r="E28" s="8"/>
      <c r="F28" s="8"/>
      <c r="G28" s="8"/>
      <c r="H28" s="8"/>
      <c r="I28" s="8"/>
      <c r="J28" s="55"/>
      <c r="K28" s="8"/>
    </row>
    <row r="29" spans="2:11" ht="18" customHeight="1" x14ac:dyDescent="0.25">
      <c r="B29" s="8"/>
      <c r="C29" s="8"/>
      <c r="D29" s="8"/>
      <c r="E29" s="8"/>
      <c r="F29" s="8"/>
      <c r="G29" s="8"/>
      <c r="H29" s="8"/>
      <c r="I29" s="8"/>
      <c r="J29" s="55"/>
      <c r="K29" s="8"/>
    </row>
    <row r="30" spans="2:11" ht="18" customHeight="1" x14ac:dyDescent="0.25">
      <c r="B30" s="8"/>
      <c r="C30" s="8"/>
      <c r="D30" s="8"/>
      <c r="E30" s="8"/>
      <c r="F30" s="8"/>
      <c r="G30" s="8"/>
      <c r="H30" s="8"/>
      <c r="I30" s="8"/>
      <c r="J30" s="55"/>
      <c r="K30" s="8"/>
    </row>
    <row r="31" spans="2:11" ht="18" customHeight="1" x14ac:dyDescent="0.25">
      <c r="B31" s="8"/>
      <c r="C31" s="8"/>
      <c r="D31" s="8"/>
      <c r="E31" s="8"/>
      <c r="F31" s="8"/>
      <c r="G31" s="8"/>
      <c r="H31" s="8"/>
      <c r="I31" s="8"/>
      <c r="J31" s="55"/>
      <c r="K31" s="8"/>
    </row>
    <row r="32" spans="2:11" ht="18" customHeight="1" x14ac:dyDescent="0.25">
      <c r="B32" s="8"/>
      <c r="C32" s="8"/>
      <c r="D32" s="8"/>
      <c r="E32" s="8"/>
      <c r="F32" s="8"/>
      <c r="G32" s="8"/>
      <c r="H32" s="8"/>
      <c r="I32" s="8"/>
      <c r="J32" s="55"/>
      <c r="K32" s="8"/>
    </row>
    <row r="33" spans="2:11" ht="18" customHeight="1" x14ac:dyDescent="0.25">
      <c r="B33" s="8"/>
      <c r="C33" s="8"/>
      <c r="D33" s="8"/>
      <c r="E33" s="8"/>
      <c r="F33" s="8"/>
      <c r="G33" s="8"/>
      <c r="H33" s="8"/>
      <c r="I33" s="8"/>
      <c r="J33" s="55"/>
      <c r="K33" s="8"/>
    </row>
    <row r="34" spans="2:11" ht="18" customHeight="1" x14ac:dyDescent="0.25">
      <c r="B34" s="8"/>
      <c r="C34" s="8"/>
      <c r="D34" s="8"/>
      <c r="E34" s="8"/>
      <c r="F34" s="8"/>
      <c r="G34" s="8"/>
      <c r="H34" s="8"/>
      <c r="I34" s="8"/>
      <c r="J34" s="55"/>
      <c r="K34" s="8"/>
    </row>
    <row r="35" spans="2:11" ht="18" customHeight="1" x14ac:dyDescent="0.25">
      <c r="B35" s="8"/>
      <c r="C35" s="8"/>
      <c r="D35" s="8"/>
      <c r="E35" s="8"/>
      <c r="F35" s="8"/>
      <c r="G35" s="8"/>
      <c r="H35" s="8"/>
      <c r="I35" s="8"/>
      <c r="J35" s="55"/>
      <c r="K35" s="8"/>
    </row>
    <row r="36" spans="2:11" ht="18" customHeight="1" x14ac:dyDescent="0.25">
      <c r="B36" s="8"/>
      <c r="C36" s="8"/>
      <c r="D36" s="8"/>
      <c r="E36" s="8"/>
      <c r="F36" s="8"/>
      <c r="G36" s="8"/>
      <c r="H36" s="8"/>
      <c r="I36" s="8"/>
      <c r="J36" s="55"/>
      <c r="K36" s="8"/>
    </row>
    <row r="37" spans="2:11" ht="18" customHeight="1" x14ac:dyDescent="0.25">
      <c r="B37" s="8"/>
      <c r="C37" s="8"/>
      <c r="D37" s="8"/>
      <c r="E37" s="8"/>
      <c r="F37" s="8"/>
      <c r="G37" s="8"/>
      <c r="H37" s="8"/>
      <c r="I37" s="8"/>
      <c r="J37" s="55"/>
      <c r="K37" s="8"/>
    </row>
    <row r="38" spans="2:11" ht="18" customHeight="1" x14ac:dyDescent="0.25">
      <c r="B38" s="8"/>
      <c r="C38" s="8"/>
      <c r="D38" s="8"/>
      <c r="E38" s="8"/>
      <c r="F38" s="8"/>
      <c r="G38" s="8"/>
      <c r="H38" s="8"/>
      <c r="I38" s="8"/>
      <c r="J38" s="55"/>
      <c r="K38" s="8"/>
    </row>
    <row r="39" spans="2:11" ht="18" customHeight="1" x14ac:dyDescent="0.25">
      <c r="B39" s="8"/>
      <c r="C39" s="8"/>
      <c r="D39" s="8"/>
      <c r="E39" s="8"/>
      <c r="F39" s="8"/>
      <c r="G39" s="8"/>
      <c r="H39" s="8"/>
      <c r="I39" s="8"/>
      <c r="J39" s="55"/>
      <c r="K39" s="8"/>
    </row>
    <row r="40" spans="2:11" ht="18" customHeight="1" x14ac:dyDescent="0.25">
      <c r="B40" s="8"/>
      <c r="C40" s="8"/>
      <c r="D40" s="8"/>
      <c r="E40" s="8"/>
      <c r="F40" s="8"/>
      <c r="G40" s="8"/>
      <c r="H40" s="8"/>
      <c r="I40" s="8"/>
      <c r="J40" s="55"/>
      <c r="K40" s="8"/>
    </row>
    <row r="41" spans="2:11" ht="18" customHeight="1" x14ac:dyDescent="0.25">
      <c r="B41" s="8"/>
      <c r="C41" s="8"/>
      <c r="D41" s="8"/>
      <c r="E41" s="8"/>
      <c r="F41" s="8"/>
      <c r="G41" s="8"/>
      <c r="H41" s="8"/>
      <c r="I41" s="8"/>
      <c r="J41" s="55"/>
      <c r="K41" s="8"/>
    </row>
    <row r="42" spans="2:11" ht="18" customHeight="1" x14ac:dyDescent="0.25">
      <c r="B42" s="8"/>
      <c r="C42" s="8"/>
      <c r="D42" s="8"/>
      <c r="E42" s="8"/>
      <c r="F42" s="8"/>
      <c r="G42" s="8"/>
      <c r="H42" s="8"/>
      <c r="I42" s="8"/>
      <c r="J42" s="55"/>
      <c r="K42" s="8"/>
    </row>
    <row r="43" spans="2:11" ht="18" customHeight="1" x14ac:dyDescent="0.25">
      <c r="B43" s="8"/>
      <c r="C43" s="8"/>
      <c r="D43" s="8"/>
      <c r="E43" s="8"/>
      <c r="F43" s="8"/>
      <c r="G43" s="8"/>
      <c r="H43" s="8"/>
      <c r="I43" s="8"/>
      <c r="J43" s="55"/>
      <c r="K43" s="8"/>
    </row>
    <row r="44" spans="2:11" ht="18" customHeight="1" x14ac:dyDescent="0.25">
      <c r="B44" s="8"/>
      <c r="C44" s="8"/>
      <c r="D44" s="8"/>
      <c r="E44" s="8"/>
      <c r="F44" s="8"/>
      <c r="G44" s="8"/>
      <c r="H44" s="8"/>
      <c r="I44" s="8"/>
      <c r="J44" s="55"/>
      <c r="K44" s="8"/>
    </row>
    <row r="45" spans="2:11" ht="18" customHeight="1" x14ac:dyDescent="0.25">
      <c r="B45" s="8"/>
      <c r="C45" s="8"/>
      <c r="D45" s="8"/>
      <c r="E45" s="8"/>
      <c r="F45" s="8"/>
      <c r="G45" s="8"/>
      <c r="H45" s="8"/>
      <c r="I45" s="8"/>
      <c r="J45" s="55"/>
      <c r="K45" s="8"/>
    </row>
    <row r="46" spans="2:11" ht="18" customHeight="1" x14ac:dyDescent="0.25">
      <c r="B46" s="8"/>
      <c r="C46" s="8"/>
      <c r="D46" s="8"/>
      <c r="E46" s="8"/>
      <c r="F46" s="8"/>
      <c r="G46" s="8"/>
      <c r="H46" s="8"/>
      <c r="I46" s="8"/>
      <c r="J46" s="55"/>
      <c r="K46" s="8"/>
    </row>
    <row r="47" spans="2:11" ht="18" customHeight="1" x14ac:dyDescent="0.25">
      <c r="B47" s="8"/>
      <c r="C47" s="8"/>
      <c r="D47" s="8"/>
      <c r="E47" s="8"/>
      <c r="F47" s="8"/>
      <c r="G47" s="8"/>
      <c r="H47" s="8"/>
      <c r="I47" s="8"/>
      <c r="J47" s="55"/>
      <c r="K47" s="8"/>
    </row>
    <row r="48" spans="2:11" ht="18" customHeight="1" x14ac:dyDescent="0.25">
      <c r="B48" s="8"/>
      <c r="C48" s="8"/>
      <c r="D48" s="8"/>
      <c r="E48" s="8"/>
      <c r="F48" s="8"/>
      <c r="G48" s="8"/>
      <c r="H48" s="8"/>
      <c r="I48" s="8"/>
      <c r="J48" s="55"/>
      <c r="K48" s="8"/>
    </row>
    <row r="49" spans="2:11" ht="18" customHeight="1" x14ac:dyDescent="0.25">
      <c r="B49" s="8"/>
      <c r="C49" s="8"/>
      <c r="D49" s="8"/>
      <c r="E49" s="8"/>
      <c r="F49" s="8"/>
      <c r="G49" s="8"/>
      <c r="H49" s="8"/>
      <c r="I49" s="8"/>
      <c r="J49" s="55"/>
      <c r="K49" s="8"/>
    </row>
    <row r="50" spans="2:11" ht="18" customHeight="1" x14ac:dyDescent="0.25">
      <c r="B50" s="8"/>
      <c r="C50" s="8"/>
      <c r="D50" s="8"/>
      <c r="E50" s="8"/>
      <c r="F50" s="8"/>
      <c r="G50" s="8"/>
      <c r="H50" s="8"/>
      <c r="I50" s="8"/>
      <c r="J50" s="55"/>
      <c r="K50" s="8"/>
    </row>
    <row r="51" spans="2:11" ht="18" customHeight="1" x14ac:dyDescent="0.25">
      <c r="B51" s="8"/>
      <c r="C51" s="8"/>
      <c r="D51" s="8"/>
      <c r="E51" s="8"/>
      <c r="F51" s="8"/>
      <c r="G51" s="8"/>
      <c r="H51" s="8"/>
      <c r="I51" s="8"/>
      <c r="J51" s="55"/>
      <c r="K51" s="8"/>
    </row>
    <row r="52" spans="2:11" ht="18" customHeight="1" x14ac:dyDescent="0.25">
      <c r="B52" s="8"/>
      <c r="C52" s="8"/>
      <c r="D52" s="8"/>
      <c r="E52" s="8"/>
      <c r="F52" s="8"/>
      <c r="G52" s="8"/>
      <c r="H52" s="8"/>
      <c r="I52" s="8"/>
      <c r="J52" s="55"/>
      <c r="K52" s="8"/>
    </row>
    <row r="53" spans="2:11" ht="18" customHeight="1" x14ac:dyDescent="0.25">
      <c r="B53" s="8"/>
      <c r="C53" s="8"/>
      <c r="D53" s="8"/>
      <c r="E53" s="8"/>
      <c r="F53" s="8"/>
      <c r="G53" s="8"/>
      <c r="H53" s="8"/>
      <c r="I53" s="8"/>
      <c r="J53" s="55"/>
      <c r="K53" s="8"/>
    </row>
    <row r="54" spans="2:11" ht="18" customHeight="1" x14ac:dyDescent="0.25">
      <c r="B54" s="8"/>
      <c r="C54" s="8"/>
      <c r="D54" s="8"/>
      <c r="E54" s="8"/>
      <c r="F54" s="8"/>
      <c r="G54" s="8"/>
      <c r="H54" s="8"/>
      <c r="I54" s="8"/>
      <c r="J54" s="55"/>
      <c r="K54" s="8"/>
    </row>
    <row r="55" spans="2:11" ht="18" customHeight="1" x14ac:dyDescent="0.25">
      <c r="B55" s="8"/>
      <c r="C55" s="8"/>
      <c r="D55" s="8"/>
      <c r="E55" s="8"/>
      <c r="F55" s="8"/>
      <c r="G55" s="8"/>
      <c r="H55" s="8"/>
      <c r="I55" s="8"/>
      <c r="J55" s="55"/>
      <c r="K55" s="8"/>
    </row>
    <row r="56" spans="2:11" ht="18" customHeight="1" x14ac:dyDescent="0.25">
      <c r="B56" s="8"/>
      <c r="C56" s="8"/>
      <c r="D56" s="8"/>
      <c r="E56" s="8"/>
      <c r="F56" s="8"/>
      <c r="G56" s="8"/>
      <c r="H56" s="8"/>
      <c r="I56" s="8"/>
      <c r="J56" s="55"/>
      <c r="K56" s="8"/>
    </row>
    <row r="57" spans="2:11" ht="18" customHeight="1" x14ac:dyDescent="0.25">
      <c r="B57" s="8"/>
      <c r="C57" s="8"/>
      <c r="D57" s="8"/>
      <c r="E57" s="8"/>
      <c r="F57" s="8"/>
      <c r="G57" s="8"/>
      <c r="H57" s="8"/>
      <c r="I57" s="8"/>
      <c r="J57" s="55"/>
      <c r="K57" s="8"/>
    </row>
    <row r="58" spans="2:11" ht="18" customHeight="1" x14ac:dyDescent="0.25">
      <c r="B58" s="8"/>
      <c r="C58" s="8"/>
      <c r="D58" s="8"/>
      <c r="E58" s="8"/>
      <c r="F58" s="8"/>
      <c r="G58" s="8"/>
      <c r="H58" s="8"/>
      <c r="I58" s="8"/>
      <c r="J58" s="55"/>
      <c r="K58" s="8"/>
    </row>
    <row r="59" spans="2:11" ht="18" customHeight="1" x14ac:dyDescent="0.25">
      <c r="B59" s="8"/>
      <c r="C59" s="8"/>
      <c r="D59" s="8"/>
      <c r="E59" s="8"/>
      <c r="F59" s="8"/>
      <c r="G59" s="8"/>
      <c r="H59" s="8"/>
      <c r="I59" s="8"/>
      <c r="J59" s="55"/>
      <c r="K59" s="8"/>
    </row>
    <row r="60" spans="2:11" ht="18" customHeight="1" x14ac:dyDescent="0.25">
      <c r="B60" s="8"/>
      <c r="C60" s="8"/>
      <c r="D60" s="8"/>
      <c r="E60" s="8"/>
      <c r="F60" s="8"/>
      <c r="G60" s="8"/>
      <c r="H60" s="8"/>
      <c r="I60" s="8"/>
      <c r="J60" s="55"/>
      <c r="K60" s="8"/>
    </row>
    <row r="61" spans="2:11" ht="18" customHeight="1" x14ac:dyDescent="0.25">
      <c r="B61" s="8"/>
      <c r="C61" s="8"/>
      <c r="D61" s="8"/>
      <c r="E61" s="8"/>
      <c r="F61" s="8"/>
      <c r="G61" s="8"/>
      <c r="H61" s="8"/>
      <c r="I61" s="8"/>
      <c r="J61" s="55"/>
      <c r="K61" s="8"/>
    </row>
    <row r="62" spans="2:11" ht="18" customHeight="1" x14ac:dyDescent="0.25">
      <c r="B62" s="8"/>
      <c r="C62" s="8"/>
      <c r="D62" s="8"/>
      <c r="E62" s="8"/>
      <c r="F62" s="8"/>
      <c r="G62" s="8"/>
      <c r="H62" s="8"/>
      <c r="I62" s="8"/>
      <c r="J62" s="55"/>
      <c r="K62" s="8"/>
    </row>
    <row r="63" spans="2:11" ht="18" customHeight="1" x14ac:dyDescent="0.25">
      <c r="B63" s="8"/>
      <c r="C63" s="8"/>
      <c r="D63" s="8"/>
      <c r="E63" s="8"/>
      <c r="F63" s="8"/>
      <c r="G63" s="8"/>
      <c r="H63" s="8"/>
      <c r="I63" s="8"/>
      <c r="J63" s="55"/>
      <c r="K63" s="8"/>
    </row>
    <row r="64" spans="2:11" ht="18" customHeight="1" x14ac:dyDescent="0.25">
      <c r="B64" s="8"/>
      <c r="C64" s="8"/>
      <c r="D64" s="8"/>
      <c r="E64" s="8"/>
      <c r="F64" s="8"/>
      <c r="G64" s="8"/>
      <c r="H64" s="8"/>
      <c r="I64" s="8"/>
      <c r="J64" s="55"/>
      <c r="K64" s="8"/>
    </row>
    <row r="65" spans="2:11" ht="18" customHeight="1" x14ac:dyDescent="0.25">
      <c r="B65" s="8"/>
      <c r="C65" s="8"/>
      <c r="D65" s="8"/>
      <c r="E65" s="8"/>
      <c r="F65" s="8"/>
      <c r="G65" s="8"/>
      <c r="H65" s="8"/>
      <c r="I65" s="8"/>
      <c r="J65" s="55"/>
      <c r="K65" s="8"/>
    </row>
    <row r="66" spans="2:11" ht="18" customHeight="1" x14ac:dyDescent="0.25">
      <c r="B66" s="8"/>
      <c r="C66" s="8"/>
      <c r="D66" s="8"/>
      <c r="E66" s="8"/>
      <c r="F66" s="8"/>
      <c r="G66" s="8"/>
      <c r="H66" s="8"/>
      <c r="I66" s="8"/>
      <c r="J66" s="55"/>
      <c r="K66" s="8"/>
    </row>
    <row r="67" spans="2:11" ht="18" customHeight="1" x14ac:dyDescent="0.25">
      <c r="B67" s="8"/>
      <c r="C67" s="8"/>
      <c r="D67" s="8"/>
      <c r="E67" s="8"/>
      <c r="F67" s="8"/>
      <c r="G67" s="8"/>
      <c r="H67" s="8"/>
      <c r="I67" s="8"/>
      <c r="J67" s="55"/>
      <c r="K67" s="8"/>
    </row>
    <row r="68" spans="2:11" ht="18" customHeight="1" x14ac:dyDescent="0.25">
      <c r="B68" s="8"/>
      <c r="C68" s="8"/>
      <c r="D68" s="8"/>
      <c r="E68" s="8"/>
      <c r="F68" s="8"/>
      <c r="G68" s="8"/>
      <c r="H68" s="8"/>
      <c r="I68" s="8"/>
      <c r="J68" s="55"/>
      <c r="K68" s="8"/>
    </row>
    <row r="69" spans="2:11" ht="18" customHeight="1" x14ac:dyDescent="0.25">
      <c r="B69" s="8"/>
      <c r="C69" s="8"/>
      <c r="D69" s="8"/>
      <c r="E69" s="8"/>
      <c r="F69" s="8"/>
      <c r="G69" s="8"/>
      <c r="H69" s="8"/>
      <c r="I69" s="8"/>
      <c r="J69" s="55"/>
      <c r="K69" s="8"/>
    </row>
    <row r="70" spans="2:11" ht="18" customHeight="1" x14ac:dyDescent="0.25">
      <c r="B70" s="8"/>
      <c r="C70" s="8"/>
      <c r="D70" s="8"/>
      <c r="E70" s="8"/>
      <c r="F70" s="8"/>
      <c r="G70" s="8"/>
      <c r="H70" s="8"/>
      <c r="I70" s="8"/>
      <c r="J70" s="55"/>
      <c r="K70" s="8"/>
    </row>
    <row r="71" spans="2:11" ht="18" customHeight="1" x14ac:dyDescent="0.25">
      <c r="B71" s="8"/>
      <c r="C71" s="8"/>
      <c r="D71" s="8"/>
      <c r="E71" s="8"/>
      <c r="F71" s="8"/>
      <c r="G71" s="8"/>
      <c r="H71" s="8"/>
      <c r="I71" s="8"/>
      <c r="J71" s="55"/>
      <c r="K71" s="8"/>
    </row>
    <row r="72" spans="2:11" ht="18" customHeight="1" x14ac:dyDescent="0.25">
      <c r="B72" s="8"/>
      <c r="C72" s="8"/>
      <c r="D72" s="8"/>
      <c r="E72" s="8"/>
      <c r="F72" s="8"/>
      <c r="G72" s="8"/>
      <c r="H72" s="8"/>
      <c r="I72" s="8"/>
      <c r="J72" s="55"/>
      <c r="K72" s="8"/>
    </row>
    <row r="73" spans="2:11" ht="18" customHeight="1" x14ac:dyDescent="0.25">
      <c r="B73" s="8"/>
      <c r="C73" s="8"/>
      <c r="D73" s="8"/>
      <c r="E73" s="8"/>
      <c r="F73" s="8"/>
      <c r="G73" s="8"/>
      <c r="H73" s="8"/>
      <c r="I73" s="8"/>
      <c r="J73" s="55"/>
      <c r="K73" s="8"/>
    </row>
    <row r="74" spans="2:11" ht="18" customHeight="1" x14ac:dyDescent="0.25">
      <c r="B74" s="8"/>
      <c r="C74" s="8"/>
      <c r="D74" s="8"/>
      <c r="E74" s="8"/>
      <c r="F74" s="8"/>
      <c r="G74" s="8"/>
      <c r="H74" s="8"/>
      <c r="I74" s="8"/>
      <c r="J74" s="55"/>
      <c r="K74" s="8"/>
    </row>
    <row r="75" spans="2:11" ht="18" customHeight="1" x14ac:dyDescent="0.25">
      <c r="B75" s="8"/>
      <c r="C75" s="8"/>
      <c r="D75" s="8"/>
      <c r="E75" s="8"/>
      <c r="F75" s="8"/>
      <c r="G75" s="8"/>
      <c r="H75" s="8"/>
      <c r="I75" s="8"/>
      <c r="J75" s="55"/>
      <c r="K75" s="8"/>
    </row>
    <row r="76" spans="2:11" ht="18" customHeight="1" x14ac:dyDescent="0.25">
      <c r="B76" s="8"/>
      <c r="C76" s="8"/>
      <c r="D76" s="8"/>
      <c r="E76" s="8"/>
      <c r="F76" s="8"/>
      <c r="G76" s="8"/>
      <c r="H76" s="8"/>
      <c r="I76" s="8"/>
      <c r="J76" s="55"/>
      <c r="K76" s="8"/>
    </row>
    <row r="77" spans="2:11" ht="18" customHeight="1" x14ac:dyDescent="0.25">
      <c r="B77" s="8"/>
      <c r="C77" s="8"/>
      <c r="D77" s="8"/>
      <c r="E77" s="8"/>
      <c r="F77" s="8"/>
      <c r="G77" s="8"/>
      <c r="H77" s="8"/>
      <c r="I77" s="8"/>
      <c r="J77" s="55"/>
      <c r="K77" s="8"/>
    </row>
    <row r="78" spans="2:11" ht="18" customHeight="1" x14ac:dyDescent="0.25">
      <c r="B78" s="8"/>
      <c r="C78" s="8"/>
      <c r="D78" s="8"/>
      <c r="E78" s="8"/>
      <c r="F78" s="8"/>
      <c r="G78" s="8"/>
      <c r="H78" s="8"/>
      <c r="I78" s="8"/>
      <c r="J78" s="55"/>
      <c r="K78" s="8"/>
    </row>
    <row r="79" spans="2:11" ht="18" customHeight="1" x14ac:dyDescent="0.25">
      <c r="B79" s="8"/>
      <c r="C79" s="8"/>
      <c r="D79" s="8"/>
      <c r="E79" s="8"/>
      <c r="F79" s="8"/>
      <c r="G79" s="8"/>
      <c r="H79" s="8"/>
      <c r="I79" s="8"/>
      <c r="J79" s="55"/>
      <c r="K79" s="8"/>
    </row>
    <row r="80" spans="2:11" ht="18" customHeight="1" x14ac:dyDescent="0.25">
      <c r="B80" s="8"/>
      <c r="C80" s="8"/>
      <c r="D80" s="8"/>
      <c r="E80" s="8"/>
      <c r="F80" s="8"/>
      <c r="G80" s="8"/>
      <c r="H80" s="8"/>
      <c r="I80" s="8"/>
      <c r="J80" s="55"/>
      <c r="K80" s="8"/>
    </row>
    <row r="81" spans="2:11" ht="18" customHeight="1" x14ac:dyDescent="0.25">
      <c r="B81" s="8"/>
      <c r="C81" s="8"/>
      <c r="D81" s="8"/>
      <c r="E81" s="8"/>
      <c r="F81" s="8"/>
      <c r="G81" s="8"/>
      <c r="H81" s="8"/>
      <c r="I81" s="8"/>
      <c r="J81" s="55"/>
      <c r="K81" s="8"/>
    </row>
    <row r="82" spans="2:11" ht="18" customHeight="1" x14ac:dyDescent="0.25">
      <c r="B82" s="8"/>
      <c r="C82" s="8"/>
      <c r="D82" s="8"/>
      <c r="E82" s="8"/>
      <c r="F82" s="8"/>
      <c r="G82" s="8"/>
      <c r="H82" s="8"/>
      <c r="I82" s="8"/>
      <c r="J82" s="55"/>
      <c r="K82" s="8"/>
    </row>
    <row r="83" spans="2:11" ht="18" customHeight="1" x14ac:dyDescent="0.25">
      <c r="B83" s="8"/>
      <c r="C83" s="8"/>
      <c r="D83" s="8"/>
      <c r="E83" s="8"/>
      <c r="F83" s="8"/>
      <c r="G83" s="8"/>
      <c r="H83" s="8"/>
      <c r="I83" s="8"/>
      <c r="J83" s="55"/>
      <c r="K83" s="8"/>
    </row>
    <row r="84" spans="2:11" ht="18" customHeight="1" x14ac:dyDescent="0.25">
      <c r="B84" s="8"/>
      <c r="C84" s="8"/>
      <c r="D84" s="8"/>
      <c r="E84" s="8"/>
      <c r="F84" s="8"/>
      <c r="G84" s="8"/>
      <c r="H84" s="8"/>
      <c r="I84" s="8"/>
      <c r="J84" s="55"/>
      <c r="K84" s="8"/>
    </row>
    <row r="85" spans="2:11" ht="18" customHeight="1" x14ac:dyDescent="0.25">
      <c r="B85" s="8"/>
      <c r="C85" s="8"/>
      <c r="D85" s="8"/>
      <c r="E85" s="8"/>
      <c r="F85" s="8"/>
      <c r="G85" s="8"/>
      <c r="H85" s="8"/>
      <c r="I85" s="8"/>
      <c r="J85" s="55"/>
      <c r="K85" s="8"/>
    </row>
    <row r="86" spans="2:11" ht="18" customHeight="1" x14ac:dyDescent="0.25">
      <c r="B86" s="8"/>
      <c r="C86" s="8"/>
      <c r="D86" s="8"/>
      <c r="E86" s="8"/>
      <c r="F86" s="8"/>
      <c r="G86" s="8"/>
      <c r="H86" s="8"/>
      <c r="I86" s="8"/>
      <c r="J86" s="55"/>
      <c r="K86" s="8"/>
    </row>
    <row r="87" spans="2:11" ht="18" customHeight="1" x14ac:dyDescent="0.25">
      <c r="B87" s="8"/>
      <c r="C87" s="8"/>
      <c r="D87" s="8"/>
      <c r="E87" s="8"/>
      <c r="F87" s="8"/>
      <c r="G87" s="8"/>
      <c r="H87" s="8"/>
      <c r="I87" s="8"/>
      <c r="J87" s="55"/>
      <c r="K87" s="8"/>
    </row>
    <row r="88" spans="2:11" ht="18" customHeight="1" x14ac:dyDescent="0.25">
      <c r="B88" s="8"/>
      <c r="C88" s="8"/>
      <c r="D88" s="8"/>
      <c r="E88" s="8"/>
      <c r="F88" s="8"/>
      <c r="G88" s="8"/>
      <c r="H88" s="8"/>
      <c r="I88" s="8"/>
      <c r="J88" s="55"/>
      <c r="K88" s="8"/>
    </row>
    <row r="89" spans="2:11" ht="18" customHeight="1" x14ac:dyDescent="0.25">
      <c r="B89" s="8"/>
      <c r="C89" s="8"/>
      <c r="D89" s="8"/>
      <c r="E89" s="8"/>
      <c r="F89" s="8"/>
      <c r="G89" s="8"/>
      <c r="H89" s="8"/>
      <c r="I89" s="8"/>
      <c r="J89" s="55"/>
      <c r="K89" s="8"/>
    </row>
    <row r="90" spans="2:11" ht="18" customHeight="1" x14ac:dyDescent="0.25">
      <c r="B90" s="8"/>
      <c r="C90" s="8"/>
      <c r="D90" s="8"/>
      <c r="E90" s="8"/>
      <c r="F90" s="8"/>
      <c r="G90" s="8"/>
      <c r="H90" s="8"/>
      <c r="I90" s="8"/>
      <c r="J90" s="55"/>
      <c r="K90" s="8"/>
    </row>
    <row r="91" spans="2:11" ht="18" customHeight="1" x14ac:dyDescent="0.25">
      <c r="B91" s="8"/>
      <c r="C91" s="8"/>
      <c r="D91" s="8"/>
      <c r="E91" s="8"/>
      <c r="F91" s="8"/>
      <c r="G91" s="8"/>
      <c r="H91" s="8"/>
      <c r="I91" s="8"/>
      <c r="J91" s="55"/>
      <c r="K91" s="8"/>
    </row>
    <row r="92" spans="2:11" ht="18" customHeight="1" x14ac:dyDescent="0.25">
      <c r="B92" s="8"/>
      <c r="C92" s="8"/>
      <c r="D92" s="8"/>
      <c r="E92" s="8"/>
      <c r="F92" s="8"/>
      <c r="G92" s="8"/>
      <c r="H92" s="8"/>
      <c r="I92" s="8"/>
      <c r="J92" s="55"/>
      <c r="K92" s="8"/>
    </row>
    <row r="93" spans="2:11" ht="18" customHeight="1" x14ac:dyDescent="0.25">
      <c r="B93" s="8"/>
      <c r="C93" s="8"/>
      <c r="D93" s="8"/>
      <c r="E93" s="8"/>
      <c r="F93" s="8"/>
      <c r="G93" s="8"/>
      <c r="H93" s="8"/>
      <c r="I93" s="8"/>
      <c r="J93" s="55"/>
      <c r="K93" s="8"/>
    </row>
    <row r="94" spans="2:11" ht="18" customHeight="1" x14ac:dyDescent="0.25">
      <c r="B94" s="8"/>
      <c r="C94" s="8"/>
      <c r="D94" s="8"/>
      <c r="E94" s="8"/>
      <c r="F94" s="8"/>
      <c r="G94" s="8"/>
      <c r="H94" s="8"/>
      <c r="I94" s="8"/>
      <c r="J94" s="55"/>
      <c r="K94" s="8"/>
    </row>
    <row r="95" spans="2:11" ht="18" customHeight="1" x14ac:dyDescent="0.25">
      <c r="B95" s="8"/>
      <c r="C95" s="8"/>
      <c r="D95" s="8"/>
      <c r="E95" s="8"/>
      <c r="F95" s="8"/>
      <c r="G95" s="8"/>
      <c r="H95" s="8"/>
      <c r="I95" s="8"/>
      <c r="J95" s="55"/>
      <c r="K95" s="8"/>
    </row>
    <row r="96" spans="2:11" ht="18" customHeight="1" x14ac:dyDescent="0.25">
      <c r="B96" s="8"/>
      <c r="C96" s="8"/>
      <c r="D96" s="8"/>
      <c r="E96" s="8"/>
      <c r="F96" s="8"/>
      <c r="G96" s="8"/>
      <c r="H96" s="8"/>
      <c r="I96" s="8"/>
      <c r="J96" s="55"/>
      <c r="K96" s="8"/>
    </row>
    <row r="97" spans="2:11" ht="18" customHeight="1" x14ac:dyDescent="0.25">
      <c r="B97" s="8"/>
      <c r="C97" s="8"/>
      <c r="D97" s="8"/>
      <c r="E97" s="8"/>
      <c r="F97" s="8"/>
      <c r="G97" s="8"/>
      <c r="H97" s="8"/>
      <c r="I97" s="8"/>
      <c r="J97" s="55"/>
      <c r="K97" s="8"/>
    </row>
    <row r="98" spans="2:11" ht="18" customHeight="1" x14ac:dyDescent="0.25">
      <c r="B98" s="8"/>
      <c r="C98" s="8"/>
      <c r="D98" s="8"/>
      <c r="E98" s="8"/>
      <c r="F98" s="8"/>
      <c r="G98" s="8"/>
      <c r="H98" s="8"/>
      <c r="I98" s="8"/>
      <c r="J98" s="55"/>
      <c r="K98" s="8"/>
    </row>
    <row r="99" spans="2:11" ht="18" customHeight="1" x14ac:dyDescent="0.25">
      <c r="B99" s="8"/>
      <c r="C99" s="8"/>
      <c r="D99" s="8"/>
      <c r="E99" s="8"/>
      <c r="F99" s="8"/>
      <c r="G99" s="8"/>
      <c r="H99" s="8"/>
      <c r="I99" s="8"/>
      <c r="J99" s="55"/>
      <c r="K99" s="8"/>
    </row>
    <row r="100" spans="2:11" ht="18" customHeight="1" x14ac:dyDescent="0.25">
      <c r="B100" s="8"/>
      <c r="C100" s="8"/>
      <c r="D100" s="8"/>
      <c r="E100" s="8"/>
      <c r="F100" s="8"/>
      <c r="G100" s="8"/>
      <c r="H100" s="8"/>
      <c r="I100" s="8"/>
      <c r="J100" s="55"/>
      <c r="K100" s="8"/>
    </row>
    <row r="101" spans="2:11" ht="18" customHeight="1" x14ac:dyDescent="0.25">
      <c r="B101" s="8"/>
      <c r="C101" s="8"/>
      <c r="D101" s="8"/>
      <c r="E101" s="8"/>
      <c r="F101" s="8"/>
      <c r="G101" s="8"/>
      <c r="H101" s="8"/>
      <c r="I101" s="8"/>
      <c r="J101" s="55"/>
      <c r="K101" s="8"/>
    </row>
    <row r="102" spans="2:11" ht="18" customHeight="1" x14ac:dyDescent="0.25">
      <c r="B102" s="8"/>
      <c r="C102" s="8"/>
      <c r="D102" s="8"/>
      <c r="E102" s="8"/>
      <c r="F102" s="8"/>
      <c r="G102" s="8"/>
      <c r="H102" s="8"/>
      <c r="I102" s="8"/>
      <c r="J102" s="55"/>
      <c r="K102" s="8"/>
    </row>
    <row r="103" spans="2:11" ht="18" customHeight="1" x14ac:dyDescent="0.25">
      <c r="B103" s="8"/>
      <c r="C103" s="8"/>
      <c r="D103" s="8"/>
      <c r="E103" s="8"/>
      <c r="F103" s="8"/>
      <c r="G103" s="8"/>
      <c r="H103" s="8"/>
      <c r="I103" s="8"/>
      <c r="J103" s="55"/>
      <c r="K103" s="8"/>
    </row>
    <row r="104" spans="2:11" ht="18" customHeight="1" x14ac:dyDescent="0.25">
      <c r="B104" s="8"/>
      <c r="C104" s="8"/>
      <c r="D104" s="8"/>
      <c r="E104" s="8"/>
      <c r="F104" s="8"/>
      <c r="G104" s="8"/>
      <c r="H104" s="8"/>
      <c r="I104" s="8"/>
      <c r="J104" s="55"/>
      <c r="K104" s="8"/>
    </row>
  </sheetData>
  <mergeCells count="6">
    <mergeCell ref="J3:K3"/>
    <mergeCell ref="B3:D3"/>
    <mergeCell ref="B1:K1"/>
    <mergeCell ref="E3:G3"/>
    <mergeCell ref="B2:K2"/>
    <mergeCell ref="H3:I3"/>
  </mergeCells>
  <conditionalFormatting sqref="I5:I204">
    <cfRule type="cellIs" dxfId="12" priority="1" operator="equal">
      <formula>"ACTIVE"</formula>
    </cfRule>
    <cfRule type="cellIs" dxfId="11" priority="2" operator="equal">
      <formula>"STOPPED"</formula>
    </cfRule>
    <cfRule type="cellIs" dxfId="10" priority="3" operator="equal">
      <formula>"CHANGED"</formula>
    </cfRule>
  </conditionalFormatting>
  <dataValidations count="1">
    <dataValidation type="list" allowBlank="1" showErrorMessage="1" errorTitle="Status" error="Please choose ACTIVE, CHANGED or STOPPED from the list." sqref="I5:I204" xr:uid="{00000000-0002-0000-0400-000000000000}">
      <formula1>"ACTIVE,CHANGED,STOPPED"</formula1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923A3-3704-4779-B9AF-1B473FF2B35F}">
  <sheetPr>
    <tabColor rgb="FFFF0000"/>
    <pageSetUpPr fitToPage="1"/>
  </sheetPr>
  <dimension ref="B1:Q184"/>
  <sheetViews>
    <sheetView showGridLines="0" zoomScaleNormal="100" workbookViewId="0">
      <selection activeCell="B1" sqref="B1:Q1"/>
    </sheetView>
  </sheetViews>
  <sheetFormatPr defaultColWidth="8.7109375" defaultRowHeight="15" zeroHeight="1" x14ac:dyDescent="0.25"/>
  <cols>
    <col min="1" max="1" width="3" customWidth="1"/>
    <col min="2" max="18" width="12" customWidth="1"/>
  </cols>
  <sheetData>
    <row r="1" spans="2:17" ht="36" customHeight="1" x14ac:dyDescent="0.25">
      <c r="B1" s="139" t="s">
        <v>244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</row>
    <row r="2" spans="2:17" ht="15.75" customHeight="1" x14ac:dyDescent="0.25">
      <c r="B2" s="136" t="s">
        <v>245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</row>
    <row r="3" spans="2:17" ht="24" customHeight="1" x14ac:dyDescent="0.25">
      <c r="B3" s="142" t="s">
        <v>246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</row>
    <row r="4" spans="2:17" ht="18" customHeight="1" x14ac:dyDescent="0.25">
      <c r="B4" s="14" t="s">
        <v>247</v>
      </c>
      <c r="C4" s="143" t="str">
        <f>IF(COUNT('📅 Daily Vitals Log'!C4:C113)=0,"ℹ No BP readings entered yet",IF(OR(LOOKUP(2,1/('📅 Daily Vitals Log'!C4:C113&lt;&gt;""),'📅 Daily Vitals Log'!C4:C113)&gt;'⚙ Dashboard Settings'!$I$9,IFERROR(LOOKUP(2,1/('📅 Daily Vitals Log'!D4:D113&lt;&gt;""),'📅 Daily Vitals Log'!D4:D113),0)&gt;'⚙ Dashboard Settings'!$I$11),"🚨 HIGH BP: "&amp;LOOKUP(2,1/('📅 Daily Vitals Log'!C4:C113&lt;&gt;""),'📅 Daily Vitals Log'!C4:C113)&amp;" / "&amp;IFERROR(LOOKUP(2,1/('📅 Daily Vitals Log'!D4:D113&lt;&gt;""),'📅 Daily Vitals Log'!D4:D113),"?")&amp;" mmHg — Contact doctor",IF(LOOKUP(2,1/('📅 Daily Vitals Log'!C4:C113&lt;&gt;""),'📅 Daily Vitals Log'!C4:C113)&lt;'⚙ Dashboard Settings'!$I$10,"🚨 LOW BP: "&amp;LOOKUP(2,1/('📅 Daily Vitals Log'!C4:C113&lt;&gt;""),'📅 Daily Vitals Log'!C4:C113)&amp;" / "&amp;IFERROR(LOOKUP(2,1/('📅 Daily Vitals Log'!D4:D113&lt;&gt;""),'📅 Daily Vitals Log'!D4:D113),"?")&amp;" mmHg — Contact doctor","✅ BP OK")))</f>
        <v>ℹ No BP readings entered yet</v>
      </c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</row>
    <row r="5" spans="2:17" ht="18" customHeight="1" x14ac:dyDescent="0.25">
      <c r="B5" s="14" t="s">
        <v>248</v>
      </c>
      <c r="C5" s="143" t="str">
        <f>IF(COUNT('📅 Daily Vitals Log'!F4:F113)=0,"ℹ No SpO₂ readings entered yet",IF(LOOKUP(2,1/('📅 Daily Vitals Log'!F4:F113&lt;&gt;""),'📅 Daily Vitals Log'!F4:F113)&lt;94,"🚨 LOW SpO₂: "&amp;LOOKUP(2,1/('📅 Daily Vitals Log'!F4:F113&lt;&gt;""),'📅 Daily Vitals Log'!F4:F113)&amp;"% — URGENT","✅ SpO₂ OK"))</f>
        <v>ℹ No SpO₂ readings entered yet</v>
      </c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</row>
    <row r="6" spans="2:17" ht="31.5" customHeight="1" x14ac:dyDescent="0.25">
      <c r="B6" s="14" t="s">
        <v>249</v>
      </c>
      <c r="C6" s="143" t="str">
        <f>IF(COUNT('📅 Daily Vitals Log'!M4:M113)=0,"ℹ No blood sugar readings entered yet",IF(LOOKUP(2,1/('📅 Daily Vitals Log'!M4:M113&lt;&gt;""),'📅 Daily Vitals Log'!M4:M113)&gt;'⚙ Dashboard Settings'!$I$7,"⚠ HIGH GLUCOSE: "&amp;LOOKUP(2,1/('📅 Daily Vitals Log'!M4:M113&lt;&gt;""),'📅 Daily Vitals Log'!M4:M113)&amp;" mg/dL","✅ Glucose OK"))</f>
        <v>ℹ No blood sugar readings entered yet</v>
      </c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</row>
    <row r="7" spans="2:17" ht="32.25" customHeight="1" x14ac:dyDescent="0.25">
      <c r="B7" s="14" t="s">
        <v>250</v>
      </c>
      <c r="C7" s="143" t="str">
        <f>IFERROR(IF(LOOKUP(2,1/('📅 Daily Vitals Log'!H4:H113&lt;&gt;""),'📅 Daily Vitals Log'!H4:H113)-IFERROR(AVERAGEIFS('📅 Daily Vitals Log'!H:H,'📅 Daily Vitals Log'!B:B,"&gt;="&amp;(LOOKUP(2,1/('📅 Daily Vitals Log'!B4:B113&lt;&gt;""),'📅 Daily Vitals Log'!B4:B113)-7),'📅 Daily Vitals Log'!B:B,"&lt;="&amp;(LOOKUP(2,1/('📅 Daily Vitals Log'!B4:B113&lt;&gt;""),'📅 Daily Vitals Log'!B4:B113)-1)),LOOKUP(2,1/('📅 Daily Vitals Log'!H4:H113&lt;&gt;""),'📅 Daily Vitals Log'!H4:H113))&gt;2,"⚠ WEIGHT GAIN +"&amp;TEXT(LOOKUP(2,1/('📅 Daily Vitals Log'!H4:H113&lt;&gt;""),'📅 Daily Vitals Log'!H4:H113)-IFERROR(AVERAGEIFS('📅 Daily Vitals Log'!H:H,'📅 Daily Vitals Log'!B:B,"&gt;="&amp;(LOOKUP(2,1/('📅 Daily Vitals Log'!B4:B113&lt;&gt;""),'📅 Daily Vitals Log'!B4:B113)-7),'📅 Daily Vitals Log'!B:B,"&lt;="&amp;(LOOKUP(2,1/('📅 Daily Vitals Log'!B4:B113&lt;&gt;""),'📅 Daily Vitals Log'!B4:B113)-1)),LOOKUP(2,1/('📅 Daily Vitals Log'!H4:H113&lt;&gt;""),'📅 Daily Vitals Log'!H4:H113)),"0.00")&amp;" kg vs prior 7d avg","✅ Weight stable (latest: "&amp;TEXT(LOOKUP(2,1/('📅 Daily Vitals Log'!H4:H113&lt;&gt;""),'📅 Daily Vitals Log'!H4:H113),"0.00")&amp;" kg)"),"—")</f>
        <v>—</v>
      </c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</row>
    <row r="8" spans="2:17" ht="34.5" customHeight="1" x14ac:dyDescent="0.25">
      <c r="B8" s="14" t="s">
        <v>251</v>
      </c>
      <c r="C8" s="143" t="str">
        <f>IF(COUNT('🧪 Lab Results'!G6:Z6)=0,"ℹ No creatinine result entered yet",IF(LOOKUP(2,1/('🧪 Lab Results'!G6:Z6&lt;&gt;""),'🧪 Lab Results'!G6:Z6)&gt;'⚙ Dashboard Settings'!$I$13,"⚠ HIGH CREATININE: "&amp;LOOKUP(2,1/('🧪 Lab Results'!G6:Z6&lt;&gt;""),'🧪 Lab Results'!G6:Z6)&amp;" mg/dL — Review urgently",IF(LOOKUP(2,1/('🧪 Lab Results'!G6:Z6&lt;&gt;""),'🧪 Lab Results'!G6:Z6)&gt;'⚙ Dashboard Settings'!$I$12,"⚠ Borderline Creatinine: "&amp;LOOKUP(2,1/('🧪 Lab Results'!G6:Z6&lt;&gt;""),'🧪 Lab Results'!G6:Z6)&amp;" mg/dL","✅ Creatinine OK")))</f>
        <v>ℹ No creatinine result entered yet</v>
      </c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</row>
    <row r="9" spans="2:17" ht="27.75" customHeight="1" x14ac:dyDescent="0.25">
      <c r="B9" s="14" t="s">
        <v>252</v>
      </c>
      <c r="C9" s="143" t="str">
        <f>IF(COUNT('🧪 Lab Results'!G8:Z8)=0,"ℹ No tacrolimus level entered yet",IF(LOOKUP(2,1/('🧪 Lab Results'!G8:Z8&lt;&gt;""),'🧪 Lab Results'!G8:Z8)&lt;'⚙ Dashboard Settings'!$D$8,"⚠ TAC LOW: "&amp;LOOKUP(2,1/('🧪 Lab Results'!G8:Z8&lt;&gt;""),'🧪 Lab Results'!G8:Z8)&amp;" ng/mL — Sub-therapeutic",IF(LOOKUP(2,1/('🧪 Lab Results'!G8:Z8&lt;&gt;""),'🧪 Lab Results'!G8:Z8)&gt;'⚙ Dashboard Settings'!$E$8,"⚠ TAC HIGH: "&amp;LOOKUP(2,1/('🧪 Lab Results'!G8:Z8&lt;&gt;""),'🧪 Lab Results'!G8:Z8)&amp;" ng/mL — Toxicity risk","✅ Tac level OK")))</f>
        <v>ℹ No tacrolimus level entered yet</v>
      </c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</row>
    <row r="10" spans="2:17" ht="27.75" customHeight="1" x14ac:dyDescent="0.25">
      <c r="B10" s="14" t="s">
        <v>253</v>
      </c>
      <c r="C10" s="143" t="str">
        <f>IF(SUMPRODUCT(--('⚙ Dashboard Settings'!$M$6:$M$28&gt;0))=0,"ℹ No lab results entered yet",IF(SUMPRODUCT(--(LEN('⚙ Dashboard Settings'!$L$6:$L$28)&gt;0))=0,"✅ All "&amp;SUMPRODUCT(--('⚙ Dashboard Settings'!$M$6:$M$28&gt;0))&amp;" recorded lab parameters are within your set limits","⚠ "&amp;SUMPRODUCT(--(LEN('⚙ Dashboard Settings'!$L$6:$L$28)&gt;0))&amp;" of "&amp;SUMPRODUCT(--('⚙ Dashboard Settings'!$M$6:$M$28&gt;0))&amp;" recorded lab parameters outside limits: "&amp;'⚙ Dashboard Settings'!$O$28))</f>
        <v>ℹ No lab results entered yet</v>
      </c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</row>
    <row r="11" spans="2:17" ht="6" customHeight="1" x14ac:dyDescent="0.25"/>
    <row r="12" spans="2:17" ht="21.75" customHeight="1" x14ac:dyDescent="0.25">
      <c r="B12" s="144" t="s">
        <v>254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</row>
    <row r="13" spans="2:17" ht="15" customHeight="1" x14ac:dyDescent="0.25"/>
    <row r="14" spans="2:17" ht="15" customHeight="1" x14ac:dyDescent="0.25"/>
    <row r="15" spans="2:17" ht="15" customHeight="1" x14ac:dyDescent="0.25"/>
    <row r="16" spans="2:17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spans="2:17" ht="15" customHeight="1" x14ac:dyDescent="0.25"/>
    <row r="50" spans="2:17" ht="15" customHeight="1" x14ac:dyDescent="0.25"/>
    <row r="51" spans="2:17" ht="15" customHeight="1" x14ac:dyDescent="0.25"/>
    <row r="52" spans="2:17" ht="15" customHeight="1" x14ac:dyDescent="0.25"/>
    <row r="53" spans="2:17" ht="15" customHeight="1" x14ac:dyDescent="0.25"/>
    <row r="54" spans="2:17" ht="15" customHeight="1" x14ac:dyDescent="0.25"/>
    <row r="55" spans="2:17" ht="21.75" customHeight="1" x14ac:dyDescent="0.25">
      <c r="B55" s="144" t="s">
        <v>255</v>
      </c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</row>
    <row r="56" spans="2:17" ht="15" customHeight="1" x14ac:dyDescent="0.25">
      <c r="B56" s="145" t="str">
        <f>"Latest lab date on file: "&amp;IF(MAX('🧪 Lab Results'!$G$4:$Z$4)=0,"—",TEXT(MAX('🧪 Lab Results'!$G$4:$Z$4),"dd-mmm-yyyy"))&amp;"   |   Parameters with results: "&amp;SUMPRODUCT(--('⚙ Dashboard Settings'!$M$6:$M$28&gt;0))&amp;" of "&amp;ROWS('⚙ Dashboard Settings'!$M$6:$M$28)&amp;"   |   Outside limits: "&amp;SUMPRODUCT(--(LEN('⚙ Dashboard Settings'!$L$6:$L$28)&gt;0))</f>
        <v>Latest lab date on file: —   |   Parameters with results: 0 of 23   |   Outside limits: 0</v>
      </c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</row>
    <row r="57" spans="2:17" ht="24" customHeight="1" x14ac:dyDescent="0.25">
      <c r="B57" s="146" t="s">
        <v>256</v>
      </c>
      <c r="C57" s="146"/>
      <c r="D57" s="146"/>
      <c r="E57" s="29" t="s">
        <v>111</v>
      </c>
      <c r="F57" s="29" t="s">
        <v>257</v>
      </c>
      <c r="G57" s="29" t="s">
        <v>91</v>
      </c>
      <c r="H57" s="29" t="s">
        <v>258</v>
      </c>
      <c r="I57" s="29" t="s">
        <v>259</v>
      </c>
      <c r="J57" s="29" t="s">
        <v>260</v>
      </c>
      <c r="K57" s="146" t="s">
        <v>261</v>
      </c>
      <c r="L57" s="146"/>
      <c r="M57" s="146" t="s">
        <v>262</v>
      </c>
      <c r="N57" s="146"/>
      <c r="O57" s="29" t="s">
        <v>241</v>
      </c>
      <c r="P57" s="29" t="s">
        <v>263</v>
      </c>
      <c r="Q57" s="29" t="s">
        <v>114</v>
      </c>
    </row>
    <row r="58" spans="2:17" ht="15" customHeight="1" x14ac:dyDescent="0.25">
      <c r="B58" s="147" t="str">
        <f>TRIM('🧪 Lab Results'!$B$6)</f>
        <v>Serum Creatinine</v>
      </c>
      <c r="C58" s="147"/>
      <c r="D58" s="147"/>
      <c r="E58" s="31" t="str">
        <f>IF('🧪 Lab Results'!$C$6="","",'🧪 Lab Results'!$C$6)</f>
        <v>mg/dL</v>
      </c>
      <c r="F58" s="35" t="str">
        <f>IF('⚙ Dashboard Settings'!$M$6=0,"—",INDEX('🧪 Lab Results'!$G6:$Z6,'⚙ Dashboard Settings'!$M$6-6))</f>
        <v>—</v>
      </c>
      <c r="G58" s="33" t="str">
        <f>IF('⚙ Dashboard Settings'!$M$6=0,"—",IF(INDEX('🧪 Lab Results'!$G$4:$Z$4,'⚙ Dashboard Settings'!$M$6-6)="","no date",INDEX('🧪 Lab Results'!$G$4:$Z$4,'⚙ Dashboard Settings'!$M$6-6)))</f>
        <v>—</v>
      </c>
      <c r="H58" s="31" t="str">
        <f>IF('⚙ Dashboard Settings'!$N$6=0,"—",INDEX('🧪 Lab Results'!$G6:$Z6,'⚙ Dashboard Settings'!$N$6-6))</f>
        <v>—</v>
      </c>
      <c r="I58" s="34" t="str">
        <f t="shared" ref="I58:I80" si="0">IF(AND(ISNUMBER(F58),ISNUMBER(H58)),ROUND(F58-H58,3),"—")</f>
        <v>—</v>
      </c>
      <c r="J58" s="31" t="str">
        <f>IF(NOT(ISNUMBER(I58)),"—",IF(H58=0,IF(I58=0,"● Stable",IF(I58&gt;0,"▲ Rising","▼ Falling")),IF(ABS(I58)/ABS(H58)*100&lt;'⚙ Dashboard Settings'!$I$8,"● Stable",IF(I58&gt;0,"▲ Rising","▼ Falling"))))</f>
        <v>—</v>
      </c>
      <c r="K58" s="148" t="str">
        <f>IF('🧪 Lab Results'!$D$6="","",'🧪 Lab Results'!$D$6)</f>
        <v>0.6 – 1.2</v>
      </c>
      <c r="L58" s="148"/>
      <c r="M58" s="148" t="str">
        <f>IF('🧪 Lab Results'!$E$6="","",'🧪 Lab Results'!$E$6)</f>
        <v>Stable baseline</v>
      </c>
      <c r="N58" s="148"/>
      <c r="O58" s="35" t="str">
        <f>IF(OR('⚙ Dashboard Settings'!$M$6=0,NOT(ISNUMBER(F58))),"—",IF(AND(ISNUMBER('⚙ Dashboard Settings'!$D$6),F58&lt;'⚙ Dashboard Settings'!$D$6),"▼ LOW",IF(AND(ISNUMBER('⚙ Dashboard Settings'!$E$6),F58&gt;'⚙ Dashboard Settings'!$E$6),"▲ HIGH",IF(AND(NOT(ISNUMBER('⚙ Dashboard Settings'!$D$6)),NOT(ISNUMBER('⚙ Dashboard Settings'!$E$6))),"—","✔ In range"))))</f>
        <v>—</v>
      </c>
      <c r="P58" s="31">
        <f>COUNT('🧪 Lab Results'!$G6:$Z6)</f>
        <v>0</v>
      </c>
      <c r="Q58" s="31" t="str">
        <f>IF('🧪 Lab Results'!$F$6="","",'🧪 Lab Results'!$F$6)</f>
        <v>Monthly</v>
      </c>
    </row>
    <row r="59" spans="2:17" ht="15" customHeight="1" x14ac:dyDescent="0.25">
      <c r="B59" s="147" t="str">
        <f>TRIM('🧪 Lab Results'!$B$7)</f>
        <v>eGFR</v>
      </c>
      <c r="C59" s="147"/>
      <c r="D59" s="147"/>
      <c r="E59" s="31" t="str">
        <f>IF('🧪 Lab Results'!$C$7="","",'🧪 Lab Results'!$C$7)</f>
        <v>mL/min</v>
      </c>
      <c r="F59" s="35" t="str">
        <f>IF('⚙ Dashboard Settings'!$M$7=0,"—",INDEX('🧪 Lab Results'!$G7:$Z7,'⚙ Dashboard Settings'!$M$7-6))</f>
        <v>—</v>
      </c>
      <c r="G59" s="33" t="str">
        <f>IF('⚙ Dashboard Settings'!$M$7=0,"—",IF(INDEX('🧪 Lab Results'!$G$4:$Z$4,'⚙ Dashboard Settings'!$M$7-6)="","no date",INDEX('🧪 Lab Results'!$G$4:$Z$4,'⚙ Dashboard Settings'!$M$7-6)))</f>
        <v>—</v>
      </c>
      <c r="H59" s="31" t="str">
        <f>IF('⚙ Dashboard Settings'!$N$7=0,"—",INDEX('🧪 Lab Results'!$G7:$Z7,'⚙ Dashboard Settings'!$N$7-6))</f>
        <v>—</v>
      </c>
      <c r="I59" s="34" t="str">
        <f t="shared" si="0"/>
        <v>—</v>
      </c>
      <c r="J59" s="31" t="str">
        <f>IF(NOT(ISNUMBER(I59)),"—",IF(H59=0,IF(I59=0,"● Stable",IF(I59&gt;0,"▲ Rising","▼ Falling")),IF(ABS(I59)/ABS(H59)*100&lt;'⚙ Dashboard Settings'!$I$8,"● Stable",IF(I59&gt;0,"▲ Rising","▼ Falling"))))</f>
        <v>—</v>
      </c>
      <c r="K59" s="148" t="str">
        <f>IF('🧪 Lab Results'!$D$7="","",'🧪 Lab Results'!$D$7)</f>
        <v>≥ 60</v>
      </c>
      <c r="L59" s="148"/>
      <c r="M59" s="148" t="str">
        <f>IF('🧪 Lab Results'!$E$7="","",'🧪 Lab Results'!$E$7)</f>
        <v>≥ 45</v>
      </c>
      <c r="N59" s="148"/>
      <c r="O59" s="35" t="str">
        <f>IF(OR('⚙ Dashboard Settings'!$M$7=0,NOT(ISNUMBER(F59))),"—",IF(AND(ISNUMBER('⚙ Dashboard Settings'!$D$7),F59&lt;'⚙ Dashboard Settings'!$D$7),"▼ LOW",IF(AND(ISNUMBER('⚙ Dashboard Settings'!$E$7),F59&gt;'⚙ Dashboard Settings'!$E$7),"▲ HIGH",IF(AND(NOT(ISNUMBER('⚙ Dashboard Settings'!$D$7)),NOT(ISNUMBER('⚙ Dashboard Settings'!$E$7))),"—","✔ In range"))))</f>
        <v>—</v>
      </c>
      <c r="P59" s="31">
        <f>COUNT('🧪 Lab Results'!$G7:$Z7)</f>
        <v>0</v>
      </c>
      <c r="Q59" s="31" t="str">
        <f>IF('🧪 Lab Results'!$F$7="","",'🧪 Lab Results'!$F$7)</f>
        <v>Monthly</v>
      </c>
    </row>
    <row r="60" spans="2:17" ht="15" customHeight="1" x14ac:dyDescent="0.25">
      <c r="B60" s="147" t="str">
        <f>TRIM('🧪 Lab Results'!$B$8)</f>
        <v>Tacrolimus Trough</v>
      </c>
      <c r="C60" s="147"/>
      <c r="D60" s="147"/>
      <c r="E60" s="31" t="str">
        <f>IF('🧪 Lab Results'!$C$8="","",'🧪 Lab Results'!$C$8)</f>
        <v>ng/mL</v>
      </c>
      <c r="F60" s="35" t="str">
        <f>IF('⚙ Dashboard Settings'!$M$8=0,"—",INDEX('🧪 Lab Results'!$G8:$Z8,'⚙ Dashboard Settings'!$M$8-6))</f>
        <v>—</v>
      </c>
      <c r="G60" s="33" t="str">
        <f>IF('⚙ Dashboard Settings'!$M$8=0,"—",IF(INDEX('🧪 Lab Results'!$G$4:$Z$4,'⚙ Dashboard Settings'!$M$8-6)="","no date",INDEX('🧪 Lab Results'!$G$4:$Z$4,'⚙ Dashboard Settings'!$M$8-6)))</f>
        <v>—</v>
      </c>
      <c r="H60" s="31" t="str">
        <f>IF('⚙ Dashboard Settings'!$N$8=0,"—",INDEX('🧪 Lab Results'!$G8:$Z8,'⚙ Dashboard Settings'!$N$8-6))</f>
        <v>—</v>
      </c>
      <c r="I60" s="34" t="str">
        <f t="shared" si="0"/>
        <v>—</v>
      </c>
      <c r="J60" s="31" t="str">
        <f>IF(NOT(ISNUMBER(I60)),"—",IF(H60=0,IF(I60=0,"● Stable",IF(I60&gt;0,"▲ Rising","▼ Falling")),IF(ABS(I60)/ABS(H60)*100&lt;'⚙ Dashboard Settings'!$I$8,"● Stable",IF(I60&gt;0,"▲ Rising","▼ Falling"))))</f>
        <v>—</v>
      </c>
      <c r="K60" s="148" t="str">
        <f>IF('🧪 Lab Results'!$D$8="","",'🧪 Lab Results'!$D$8)</f>
        <v>—</v>
      </c>
      <c r="L60" s="148"/>
      <c r="M60" s="148" t="str">
        <f>IF('🧪 Lab Results'!$E$8="","",'🧪 Lab Results'!$E$8)</f>
        <v>Early: 8–12 | Late: 5–8</v>
      </c>
      <c r="N60" s="148"/>
      <c r="O60" s="35" t="str">
        <f>IF(OR('⚙ Dashboard Settings'!$M$8=0,NOT(ISNUMBER(F60))),"—",IF(AND(ISNUMBER('⚙ Dashboard Settings'!$D$8),F60&lt;'⚙ Dashboard Settings'!$D$8),"▼ LOW",IF(AND(ISNUMBER('⚙ Dashboard Settings'!$E$8),F60&gt;'⚙ Dashboard Settings'!$E$8),"▲ HIGH",IF(AND(NOT(ISNUMBER('⚙ Dashboard Settings'!$D$8)),NOT(ISNUMBER('⚙ Dashboard Settings'!$E$8))),"—","✔ In range"))))</f>
        <v>—</v>
      </c>
      <c r="P60" s="31">
        <f>COUNT('🧪 Lab Results'!$G8:$Z8)</f>
        <v>0</v>
      </c>
      <c r="Q60" s="31" t="str">
        <f>IF('🧪 Lab Results'!$F$8="","",'🧪 Lab Results'!$F$8)</f>
        <v>Monthly</v>
      </c>
    </row>
    <row r="61" spans="2:17" ht="15" customHeight="1" x14ac:dyDescent="0.25">
      <c r="B61" s="147" t="str">
        <f>TRIM('🧪 Lab Results'!$B$10)</f>
        <v>Calcium (Total)</v>
      </c>
      <c r="C61" s="147"/>
      <c r="D61" s="147"/>
      <c r="E61" s="31" t="str">
        <f>IF('🧪 Lab Results'!$C$10="","",'🧪 Lab Results'!$C$10)</f>
        <v>mg/dL</v>
      </c>
      <c r="F61" s="35" t="str">
        <f>IF('⚙ Dashboard Settings'!$M$9=0,"—",INDEX('🧪 Lab Results'!$G10:$Z10,'⚙ Dashboard Settings'!$M$9-6))</f>
        <v>—</v>
      </c>
      <c r="G61" s="33" t="str">
        <f>IF('⚙ Dashboard Settings'!$M$9=0,"—",IF(INDEX('🧪 Lab Results'!$G$4:$Z$4,'⚙ Dashboard Settings'!$M$9-6)="","no date",INDEX('🧪 Lab Results'!$G$4:$Z$4,'⚙ Dashboard Settings'!$M$9-6)))</f>
        <v>—</v>
      </c>
      <c r="H61" s="31" t="str">
        <f>IF('⚙ Dashboard Settings'!$N$9=0,"—",INDEX('🧪 Lab Results'!$G10:$Z10,'⚙ Dashboard Settings'!$N$9-6))</f>
        <v>—</v>
      </c>
      <c r="I61" s="34" t="str">
        <f t="shared" si="0"/>
        <v>—</v>
      </c>
      <c r="J61" s="31" t="str">
        <f>IF(NOT(ISNUMBER(I61)),"—",IF(H61=0,IF(I61=0,"● Stable",IF(I61&gt;0,"▲ Rising","▼ Falling")),IF(ABS(I61)/ABS(H61)*100&lt;'⚙ Dashboard Settings'!$I$8,"● Stable",IF(I61&gt;0,"▲ Rising","▼ Falling"))))</f>
        <v>—</v>
      </c>
      <c r="K61" s="148" t="str">
        <f>IF('🧪 Lab Results'!$D$10="","",'🧪 Lab Results'!$D$10)</f>
        <v>8.5 – 10.5</v>
      </c>
      <c r="L61" s="148"/>
      <c r="M61" s="148" t="str">
        <f>IF('🧪 Lab Results'!$E$10="","",'🧪 Lab Results'!$E$10)</f>
        <v>8.5 – 10.2</v>
      </c>
      <c r="N61" s="148"/>
      <c r="O61" s="35" t="str">
        <f>IF(OR('⚙ Dashboard Settings'!$M$9=0,NOT(ISNUMBER(F61))),"—",IF(AND(ISNUMBER('⚙ Dashboard Settings'!$D$9),F61&lt;'⚙ Dashboard Settings'!$D$9),"▼ LOW",IF(AND(ISNUMBER('⚙ Dashboard Settings'!$E$9),F61&gt;'⚙ Dashboard Settings'!$E$9),"▲ HIGH",IF(AND(NOT(ISNUMBER('⚙ Dashboard Settings'!$D$9)),NOT(ISNUMBER('⚙ Dashboard Settings'!$E$9))),"—","✔ In range"))))</f>
        <v>—</v>
      </c>
      <c r="P61" s="31">
        <f>COUNT('🧪 Lab Results'!$G10:$Z10)</f>
        <v>0</v>
      </c>
      <c r="Q61" s="31" t="str">
        <f>IF('🧪 Lab Results'!$F$10="","",'🧪 Lab Results'!$F$10)</f>
        <v>Monthly</v>
      </c>
    </row>
    <row r="62" spans="2:17" ht="15" customHeight="1" x14ac:dyDescent="0.25">
      <c r="B62" s="147" t="str">
        <f>TRIM('🧪 Lab Results'!$B$11)</f>
        <v>Phosphorus</v>
      </c>
      <c r="C62" s="147"/>
      <c r="D62" s="147"/>
      <c r="E62" s="31" t="str">
        <f>IF('🧪 Lab Results'!$C$11="","",'🧪 Lab Results'!$C$11)</f>
        <v>mg/dL</v>
      </c>
      <c r="F62" s="35" t="str">
        <f>IF('⚙ Dashboard Settings'!$M$10=0,"—",INDEX('🧪 Lab Results'!$G11:$Z11,'⚙ Dashboard Settings'!$M$10-6))</f>
        <v>—</v>
      </c>
      <c r="G62" s="33" t="str">
        <f>IF('⚙ Dashboard Settings'!$M$10=0,"—",IF(INDEX('🧪 Lab Results'!$G$4:$Z$4,'⚙ Dashboard Settings'!$M$10-6)="","no date",INDEX('🧪 Lab Results'!$G$4:$Z$4,'⚙ Dashboard Settings'!$M$10-6)))</f>
        <v>—</v>
      </c>
      <c r="H62" s="31" t="str">
        <f>IF('⚙ Dashboard Settings'!$N$10=0,"—",INDEX('🧪 Lab Results'!$G11:$Z11,'⚙ Dashboard Settings'!$N$10-6))</f>
        <v>—</v>
      </c>
      <c r="I62" s="34" t="str">
        <f t="shared" si="0"/>
        <v>—</v>
      </c>
      <c r="J62" s="31" t="str">
        <f>IF(NOT(ISNUMBER(I62)),"—",IF(H62=0,IF(I62=0,"● Stable",IF(I62&gt;0,"▲ Rising","▼ Falling")),IF(ABS(I62)/ABS(H62)*100&lt;'⚙ Dashboard Settings'!$I$8,"● Stable",IF(I62&gt;0,"▲ Rising","▼ Falling"))))</f>
        <v>—</v>
      </c>
      <c r="K62" s="148" t="str">
        <f>IF('🧪 Lab Results'!$D$11="","",'🧪 Lab Results'!$D$11)</f>
        <v>2.5 – 4.5</v>
      </c>
      <c r="L62" s="148"/>
      <c r="M62" s="148" t="str">
        <f>IF('🧪 Lab Results'!$E$11="","",'🧪 Lab Results'!$E$11)</f>
        <v>2.5 – 4.5</v>
      </c>
      <c r="N62" s="148"/>
      <c r="O62" s="35" t="str">
        <f>IF(OR('⚙ Dashboard Settings'!$M$10=0,NOT(ISNUMBER(F62))),"—",IF(AND(ISNUMBER('⚙ Dashboard Settings'!$D$10),F62&lt;'⚙ Dashboard Settings'!$D$10),"▼ LOW",IF(AND(ISNUMBER('⚙ Dashboard Settings'!$E$10),F62&gt;'⚙ Dashboard Settings'!$E$10),"▲ HIGH",IF(AND(NOT(ISNUMBER('⚙ Dashboard Settings'!$D$10)),NOT(ISNUMBER('⚙ Dashboard Settings'!$E$10))),"—","✔ In range"))))</f>
        <v>—</v>
      </c>
      <c r="P62" s="31">
        <f>COUNT('🧪 Lab Results'!$G11:$Z11)</f>
        <v>0</v>
      </c>
      <c r="Q62" s="31" t="str">
        <f>IF('🧪 Lab Results'!$F$11="","",'🧪 Lab Results'!$F$11)</f>
        <v>Monthly</v>
      </c>
    </row>
    <row r="63" spans="2:17" ht="15" customHeight="1" x14ac:dyDescent="0.25">
      <c r="B63" s="147" t="str">
        <f>TRIM('🧪 Lab Results'!$B$12)</f>
        <v>Uric Acid</v>
      </c>
      <c r="C63" s="147"/>
      <c r="D63" s="147"/>
      <c r="E63" s="31" t="str">
        <f>IF('🧪 Lab Results'!$C$12="","",'🧪 Lab Results'!$C$12)</f>
        <v>mg/dL</v>
      </c>
      <c r="F63" s="35" t="str">
        <f>IF('⚙ Dashboard Settings'!$M$11=0,"—",INDEX('🧪 Lab Results'!$G12:$Z12,'⚙ Dashboard Settings'!$M$11-6))</f>
        <v>—</v>
      </c>
      <c r="G63" s="33" t="str">
        <f>IF('⚙ Dashboard Settings'!$M$11=0,"—",IF(INDEX('🧪 Lab Results'!$G$4:$Z$4,'⚙ Dashboard Settings'!$M$11-6)="","no date",INDEX('🧪 Lab Results'!$G$4:$Z$4,'⚙ Dashboard Settings'!$M$11-6)))</f>
        <v>—</v>
      </c>
      <c r="H63" s="31" t="str">
        <f>IF('⚙ Dashboard Settings'!$N$11=0,"—",INDEX('🧪 Lab Results'!$G12:$Z12,'⚙ Dashboard Settings'!$N$11-6))</f>
        <v>—</v>
      </c>
      <c r="I63" s="34" t="str">
        <f t="shared" si="0"/>
        <v>—</v>
      </c>
      <c r="J63" s="31" t="str">
        <f>IF(NOT(ISNUMBER(I63)),"—",IF(H63=0,IF(I63=0,"● Stable",IF(I63&gt;0,"▲ Rising","▼ Falling")),IF(ABS(I63)/ABS(H63)*100&lt;'⚙ Dashboard Settings'!$I$8,"● Stable",IF(I63&gt;0,"▲ Rising","▼ Falling"))))</f>
        <v>—</v>
      </c>
      <c r="K63" s="148" t="str">
        <f>IF('🧪 Lab Results'!$D$12="","",'🧪 Lab Results'!$D$12)</f>
        <v>2.4 – 7.0</v>
      </c>
      <c r="L63" s="148"/>
      <c r="M63" s="148" t="str">
        <f>IF('🧪 Lab Results'!$E$12="","",'🧪 Lab Results'!$E$12)</f>
        <v>&lt; 7.0</v>
      </c>
      <c r="N63" s="148"/>
      <c r="O63" s="35" t="str">
        <f>IF(OR('⚙ Dashboard Settings'!$M$11=0,NOT(ISNUMBER(F63))),"—",IF(AND(ISNUMBER('⚙ Dashboard Settings'!$D$11),F63&lt;'⚙ Dashboard Settings'!$D$11),"▼ LOW",IF(AND(ISNUMBER('⚙ Dashboard Settings'!$E$11),F63&gt;'⚙ Dashboard Settings'!$E$11),"▲ HIGH",IF(AND(NOT(ISNUMBER('⚙ Dashboard Settings'!$D$11)),NOT(ISNUMBER('⚙ Dashboard Settings'!$E$11))),"—","✔ In range"))))</f>
        <v>—</v>
      </c>
      <c r="P63" s="31">
        <f>COUNT('🧪 Lab Results'!$G12:$Z12)</f>
        <v>0</v>
      </c>
      <c r="Q63" s="31" t="str">
        <f>IF('🧪 Lab Results'!$F$12="","",'🧪 Lab Results'!$F$12)</f>
        <v>Monthly</v>
      </c>
    </row>
    <row r="64" spans="2:17" ht="15" customHeight="1" x14ac:dyDescent="0.25">
      <c r="B64" s="147" t="str">
        <f>TRIM('🧪 Lab Results'!$B$13)</f>
        <v>Potassium</v>
      </c>
      <c r="C64" s="147"/>
      <c r="D64" s="147"/>
      <c r="E64" s="31" t="str">
        <f>IF('🧪 Lab Results'!$C$13="","",'🧪 Lab Results'!$C$13)</f>
        <v>mEq/L</v>
      </c>
      <c r="F64" s="35" t="str">
        <f>IF('⚙ Dashboard Settings'!$M$12=0,"—",INDEX('🧪 Lab Results'!$G13:$Z13,'⚙ Dashboard Settings'!$M$12-6))</f>
        <v>—</v>
      </c>
      <c r="G64" s="33" t="str">
        <f>IF('⚙ Dashboard Settings'!$M$12=0,"—",IF(INDEX('🧪 Lab Results'!$G$4:$Z$4,'⚙ Dashboard Settings'!$M$12-6)="","no date",INDEX('🧪 Lab Results'!$G$4:$Z$4,'⚙ Dashboard Settings'!$M$12-6)))</f>
        <v>—</v>
      </c>
      <c r="H64" s="31" t="str">
        <f>IF('⚙ Dashboard Settings'!$N$12=0,"—",INDEX('🧪 Lab Results'!$G13:$Z13,'⚙ Dashboard Settings'!$N$12-6))</f>
        <v>—</v>
      </c>
      <c r="I64" s="34" t="str">
        <f t="shared" si="0"/>
        <v>—</v>
      </c>
      <c r="J64" s="31" t="str">
        <f>IF(NOT(ISNUMBER(I64)),"—",IF(H64=0,IF(I64=0,"● Stable",IF(I64&gt;0,"▲ Rising","▼ Falling")),IF(ABS(I64)/ABS(H64)*100&lt;'⚙ Dashboard Settings'!$I$8,"● Stable",IF(I64&gt;0,"▲ Rising","▼ Falling"))))</f>
        <v>—</v>
      </c>
      <c r="K64" s="148" t="str">
        <f>IF('🧪 Lab Results'!$D$13="","",'🧪 Lab Results'!$D$13)</f>
        <v>3.5 – 5.0</v>
      </c>
      <c r="L64" s="148"/>
      <c r="M64" s="148" t="str">
        <f>IF('🧪 Lab Results'!$E$13="","",'🧪 Lab Results'!$E$13)</f>
        <v>3.5 – 5.0</v>
      </c>
      <c r="N64" s="148"/>
      <c r="O64" s="35" t="str">
        <f>IF(OR('⚙ Dashboard Settings'!$M$12=0,NOT(ISNUMBER(F64))),"—",IF(AND(ISNUMBER('⚙ Dashboard Settings'!$D$12),F64&lt;'⚙ Dashboard Settings'!$D$12),"▼ LOW",IF(AND(ISNUMBER('⚙ Dashboard Settings'!$E$12),F64&gt;'⚙ Dashboard Settings'!$E$12),"▲ HIGH",IF(AND(NOT(ISNUMBER('⚙ Dashboard Settings'!$D$12)),NOT(ISNUMBER('⚙ Dashboard Settings'!$E$12))),"—","✔ In range"))))</f>
        <v>—</v>
      </c>
      <c r="P64" s="31">
        <f>COUNT('🧪 Lab Results'!$G13:$Z13)</f>
        <v>0</v>
      </c>
      <c r="Q64" s="31" t="str">
        <f>IF('🧪 Lab Results'!$F$13="","",'🧪 Lab Results'!$F$13)</f>
        <v>Monthly</v>
      </c>
    </row>
    <row r="65" spans="2:17" ht="15" customHeight="1" x14ac:dyDescent="0.25">
      <c r="B65" s="147" t="str">
        <f>TRIM('🧪 Lab Results'!$B$14)</f>
        <v>Sodium</v>
      </c>
      <c r="C65" s="147"/>
      <c r="D65" s="147"/>
      <c r="E65" s="31" t="str">
        <f>IF('🧪 Lab Results'!$C$14="","",'🧪 Lab Results'!$C$14)</f>
        <v>mEq/L</v>
      </c>
      <c r="F65" s="35" t="str">
        <f>IF('⚙ Dashboard Settings'!$M$13=0,"—",INDEX('🧪 Lab Results'!$G14:$Z14,'⚙ Dashboard Settings'!$M$13-6))</f>
        <v>—</v>
      </c>
      <c r="G65" s="33" t="str">
        <f>IF('⚙ Dashboard Settings'!$M$13=0,"—",IF(INDEX('🧪 Lab Results'!$G$4:$Z$4,'⚙ Dashboard Settings'!$M$13-6)="","no date",INDEX('🧪 Lab Results'!$G$4:$Z$4,'⚙ Dashboard Settings'!$M$13-6)))</f>
        <v>—</v>
      </c>
      <c r="H65" s="31" t="str">
        <f>IF('⚙ Dashboard Settings'!$N$13=0,"—",INDEX('🧪 Lab Results'!$G14:$Z14,'⚙ Dashboard Settings'!$N$13-6))</f>
        <v>—</v>
      </c>
      <c r="I65" s="34" t="str">
        <f t="shared" si="0"/>
        <v>—</v>
      </c>
      <c r="J65" s="31" t="str">
        <f>IF(NOT(ISNUMBER(I65)),"—",IF(H65=0,IF(I65=0,"● Stable",IF(I65&gt;0,"▲ Rising","▼ Falling")),IF(ABS(I65)/ABS(H65)*100&lt;'⚙ Dashboard Settings'!$I$8,"● Stable",IF(I65&gt;0,"▲ Rising","▼ Falling"))))</f>
        <v>—</v>
      </c>
      <c r="K65" s="148" t="str">
        <f>IF('🧪 Lab Results'!$D$14="","",'🧪 Lab Results'!$D$14)</f>
        <v>135 – 145</v>
      </c>
      <c r="L65" s="148"/>
      <c r="M65" s="148" t="str">
        <f>IF('🧪 Lab Results'!$E$14="","",'🧪 Lab Results'!$E$14)</f>
        <v>135 – 145</v>
      </c>
      <c r="N65" s="148"/>
      <c r="O65" s="35" t="str">
        <f>IF(OR('⚙ Dashboard Settings'!$M$13=0,NOT(ISNUMBER(F65))),"—",IF(AND(ISNUMBER('⚙ Dashboard Settings'!$D$13),F65&lt;'⚙ Dashboard Settings'!$D$13),"▼ LOW",IF(AND(ISNUMBER('⚙ Dashboard Settings'!$E$13),F65&gt;'⚙ Dashboard Settings'!$E$13),"▲ HIGH",IF(AND(NOT(ISNUMBER('⚙ Dashboard Settings'!$D$13)),NOT(ISNUMBER('⚙ Dashboard Settings'!$E$13))),"—","✔ In range"))))</f>
        <v>—</v>
      </c>
      <c r="P65" s="31">
        <f>COUNT('🧪 Lab Results'!$G14:$Z14)</f>
        <v>0</v>
      </c>
      <c r="Q65" s="31" t="str">
        <f>IF('🧪 Lab Results'!$F$14="","",'🧪 Lab Results'!$F$14)</f>
        <v>Monthly</v>
      </c>
    </row>
    <row r="66" spans="2:17" ht="15" customHeight="1" x14ac:dyDescent="0.25">
      <c r="B66" s="147" t="str">
        <f>TRIM('🧪 Lab Results'!$B$15)</f>
        <v>Serum Bicarbonate</v>
      </c>
      <c r="C66" s="147"/>
      <c r="D66" s="147"/>
      <c r="E66" s="31" t="str">
        <f>IF('🧪 Lab Results'!$C$15="","",'🧪 Lab Results'!$C$15)</f>
        <v>mEq/L</v>
      </c>
      <c r="F66" s="35" t="str">
        <f>IF('⚙ Dashboard Settings'!$M$14=0,"—",INDEX('🧪 Lab Results'!$G15:$Z15,'⚙ Dashboard Settings'!$M$14-6))</f>
        <v>—</v>
      </c>
      <c r="G66" s="33" t="str">
        <f>IF('⚙ Dashboard Settings'!$M$14=0,"—",IF(INDEX('🧪 Lab Results'!$G$4:$Z$4,'⚙ Dashboard Settings'!$M$14-6)="","no date",INDEX('🧪 Lab Results'!$G$4:$Z$4,'⚙ Dashboard Settings'!$M$14-6)))</f>
        <v>—</v>
      </c>
      <c r="H66" s="31" t="str">
        <f>IF('⚙ Dashboard Settings'!$N$14=0,"—",INDEX('🧪 Lab Results'!$G15:$Z15,'⚙ Dashboard Settings'!$N$14-6))</f>
        <v>—</v>
      </c>
      <c r="I66" s="34" t="str">
        <f t="shared" si="0"/>
        <v>—</v>
      </c>
      <c r="J66" s="31" t="str">
        <f>IF(NOT(ISNUMBER(I66)),"—",IF(H66=0,IF(I66=0,"● Stable",IF(I66&gt;0,"▲ Rising","▼ Falling")),IF(ABS(I66)/ABS(H66)*100&lt;'⚙ Dashboard Settings'!$I$8,"● Stable",IF(I66&gt;0,"▲ Rising","▼ Falling"))))</f>
        <v>—</v>
      </c>
      <c r="K66" s="148" t="str">
        <f>IF('🧪 Lab Results'!$D$15="","",'🧪 Lab Results'!$D$15)</f>
        <v>22 – 29</v>
      </c>
      <c r="L66" s="148"/>
      <c r="M66" s="148" t="str">
        <f>IF('🧪 Lab Results'!$E$15="","",'🧪 Lab Results'!$E$15)</f>
        <v>22 – 29</v>
      </c>
      <c r="N66" s="148"/>
      <c r="O66" s="35" t="str">
        <f>IF(OR('⚙ Dashboard Settings'!$M$14=0,NOT(ISNUMBER(F66))),"—",IF(AND(ISNUMBER('⚙ Dashboard Settings'!$D$14),F66&lt;'⚙ Dashboard Settings'!$D$14),"▼ LOW",IF(AND(ISNUMBER('⚙ Dashboard Settings'!$E$14),F66&gt;'⚙ Dashboard Settings'!$E$14),"▲ HIGH",IF(AND(NOT(ISNUMBER('⚙ Dashboard Settings'!$D$14)),NOT(ISNUMBER('⚙ Dashboard Settings'!$E$14))),"—","✔ In range"))))</f>
        <v>—</v>
      </c>
      <c r="P66" s="31">
        <f>COUNT('🧪 Lab Results'!$G15:$Z15)</f>
        <v>0</v>
      </c>
      <c r="Q66" s="31" t="str">
        <f>IF('🧪 Lab Results'!$F$15="","",'🧪 Lab Results'!$F$15)</f>
        <v>Monthly</v>
      </c>
    </row>
    <row r="67" spans="2:17" ht="15" customHeight="1" x14ac:dyDescent="0.25">
      <c r="B67" s="147" t="str">
        <f>TRIM('🧪 Lab Results'!$B$17)</f>
        <v>FBS (Fasting Sugar)</v>
      </c>
      <c r="C67" s="147"/>
      <c r="D67" s="147"/>
      <c r="E67" s="31" t="str">
        <f>IF('🧪 Lab Results'!$C$17="","",'🧪 Lab Results'!$C$17)</f>
        <v>mg/dL</v>
      </c>
      <c r="F67" s="35" t="str">
        <f>IF('⚙ Dashboard Settings'!$M$15=0,"—",INDEX('🧪 Lab Results'!$G17:$Z17,'⚙ Dashboard Settings'!$M$15-6))</f>
        <v>—</v>
      </c>
      <c r="G67" s="33" t="str">
        <f>IF('⚙ Dashboard Settings'!$M$15=0,"—",IF(INDEX('🧪 Lab Results'!$G$4:$Z$4,'⚙ Dashboard Settings'!$M$15-6)="","no date",INDEX('🧪 Lab Results'!$G$4:$Z$4,'⚙ Dashboard Settings'!$M$15-6)))</f>
        <v>—</v>
      </c>
      <c r="H67" s="31" t="str">
        <f>IF('⚙ Dashboard Settings'!$N$15=0,"—",INDEX('🧪 Lab Results'!$G17:$Z17,'⚙ Dashboard Settings'!$N$15-6))</f>
        <v>—</v>
      </c>
      <c r="I67" s="34" t="str">
        <f t="shared" si="0"/>
        <v>—</v>
      </c>
      <c r="J67" s="31" t="str">
        <f>IF(NOT(ISNUMBER(I67)),"—",IF(H67=0,IF(I67=0,"● Stable",IF(I67&gt;0,"▲ Rising","▼ Falling")),IF(ABS(I67)/ABS(H67)*100&lt;'⚙ Dashboard Settings'!$I$8,"● Stable",IF(I67&gt;0,"▲ Rising","▼ Falling"))))</f>
        <v>—</v>
      </c>
      <c r="K67" s="148" t="str">
        <f>IF('🧪 Lab Results'!$D$17="","",'🧪 Lab Results'!$D$17)</f>
        <v>70 – 100</v>
      </c>
      <c r="L67" s="148"/>
      <c r="M67" s="148" t="str">
        <f>IF('🧪 Lab Results'!$E$17="","",'🧪 Lab Results'!$E$17)</f>
        <v>70 – 126</v>
      </c>
      <c r="N67" s="148"/>
      <c r="O67" s="35" t="str">
        <f>IF(OR('⚙ Dashboard Settings'!$M$15=0,NOT(ISNUMBER(F67))),"—",IF(AND(ISNUMBER('⚙ Dashboard Settings'!$D$15),F67&lt;'⚙ Dashboard Settings'!$D$15),"▼ LOW",IF(AND(ISNUMBER('⚙ Dashboard Settings'!$E$15),F67&gt;'⚙ Dashboard Settings'!$E$15),"▲ HIGH",IF(AND(NOT(ISNUMBER('⚙ Dashboard Settings'!$D$15)),NOT(ISNUMBER('⚙ Dashboard Settings'!$E$15))),"—","✔ In range"))))</f>
        <v>—</v>
      </c>
      <c r="P67" s="31">
        <f>COUNT('🧪 Lab Results'!$G17:$Z17)</f>
        <v>0</v>
      </c>
      <c r="Q67" s="31" t="str">
        <f>IF('🧪 Lab Results'!$F$17="","",'🧪 Lab Results'!$F$17)</f>
        <v>Monthly</v>
      </c>
    </row>
    <row r="68" spans="2:17" ht="15" customHeight="1" x14ac:dyDescent="0.25">
      <c r="B68" s="147" t="str">
        <f>TRIM('🧪 Lab Results'!$B$18)</f>
        <v>PPBS (Post-meal)</v>
      </c>
      <c r="C68" s="147"/>
      <c r="D68" s="147"/>
      <c r="E68" s="31" t="str">
        <f>IF('🧪 Lab Results'!$C$18="","",'🧪 Lab Results'!$C$18)</f>
        <v>mg/dL</v>
      </c>
      <c r="F68" s="35" t="str">
        <f>IF('⚙ Dashboard Settings'!$M$16=0,"—",INDEX('🧪 Lab Results'!$G18:$Z18,'⚙ Dashboard Settings'!$M$16-6))</f>
        <v>—</v>
      </c>
      <c r="G68" s="33" t="str">
        <f>IF('⚙ Dashboard Settings'!$M$16=0,"—",IF(INDEX('🧪 Lab Results'!$G$4:$Z$4,'⚙ Dashboard Settings'!$M$16-6)="","no date",INDEX('🧪 Lab Results'!$G$4:$Z$4,'⚙ Dashboard Settings'!$M$16-6)))</f>
        <v>—</v>
      </c>
      <c r="H68" s="31" t="str">
        <f>IF('⚙ Dashboard Settings'!$N$16=0,"—",INDEX('🧪 Lab Results'!$G18:$Z18,'⚙ Dashboard Settings'!$N$16-6))</f>
        <v>—</v>
      </c>
      <c r="I68" s="34" t="str">
        <f t="shared" si="0"/>
        <v>—</v>
      </c>
      <c r="J68" s="31" t="str">
        <f>IF(NOT(ISNUMBER(I68)),"—",IF(H68=0,IF(I68=0,"● Stable",IF(I68&gt;0,"▲ Rising","▼ Falling")),IF(ABS(I68)/ABS(H68)*100&lt;'⚙ Dashboard Settings'!$I$8,"● Stable",IF(I68&gt;0,"▲ Rising","▼ Falling"))))</f>
        <v>—</v>
      </c>
      <c r="K68" s="148" t="str">
        <f>IF('🧪 Lab Results'!$D$18="","",'🧪 Lab Results'!$D$18)</f>
        <v>≤ 140</v>
      </c>
      <c r="L68" s="148"/>
      <c r="M68" s="148" t="str">
        <f>IF('🧪 Lab Results'!$E$18="","",'🧪 Lab Results'!$E$18)</f>
        <v>≤ 180</v>
      </c>
      <c r="N68" s="148"/>
      <c r="O68" s="35" t="str">
        <f>IF(OR('⚙ Dashboard Settings'!$M$16=0,NOT(ISNUMBER(F68))),"—",IF(AND(ISNUMBER('⚙ Dashboard Settings'!$D$16),F68&lt;'⚙ Dashboard Settings'!$D$16),"▼ LOW",IF(AND(ISNUMBER('⚙ Dashboard Settings'!$E$16),F68&gt;'⚙ Dashboard Settings'!$E$16),"▲ HIGH",IF(AND(NOT(ISNUMBER('⚙ Dashboard Settings'!$D$16)),NOT(ISNUMBER('⚙ Dashboard Settings'!$E$16))),"—","✔ In range"))))</f>
        <v>—</v>
      </c>
      <c r="P68" s="31">
        <f>COUNT('🧪 Lab Results'!$G18:$Z18)</f>
        <v>0</v>
      </c>
      <c r="Q68" s="31" t="str">
        <f>IF('🧪 Lab Results'!$F$18="","",'🧪 Lab Results'!$F$18)</f>
        <v>Monthly</v>
      </c>
    </row>
    <row r="69" spans="2:17" ht="15" customHeight="1" x14ac:dyDescent="0.25">
      <c r="B69" s="147" t="str">
        <f>TRIM('🧪 Lab Results'!$B$19)</f>
        <v>HbA1c</v>
      </c>
      <c r="C69" s="147"/>
      <c r="D69" s="147"/>
      <c r="E69" s="31" t="str">
        <f>IF('🧪 Lab Results'!$C$19="","",'🧪 Lab Results'!$C$19)</f>
        <v>%</v>
      </c>
      <c r="F69" s="35" t="str">
        <f>IF('⚙ Dashboard Settings'!$M$17=0,"—",INDEX('🧪 Lab Results'!$G19:$Z19,'⚙ Dashboard Settings'!$M$17-6))</f>
        <v>—</v>
      </c>
      <c r="G69" s="33" t="str">
        <f>IF('⚙ Dashboard Settings'!$M$17=0,"—",IF(INDEX('🧪 Lab Results'!$G$4:$Z$4,'⚙ Dashboard Settings'!$M$17-6)="","no date",INDEX('🧪 Lab Results'!$G$4:$Z$4,'⚙ Dashboard Settings'!$M$17-6)))</f>
        <v>—</v>
      </c>
      <c r="H69" s="31" t="str">
        <f>IF('⚙ Dashboard Settings'!$N$17=0,"—",INDEX('🧪 Lab Results'!$G19:$Z19,'⚙ Dashboard Settings'!$N$17-6))</f>
        <v>—</v>
      </c>
      <c r="I69" s="34" t="str">
        <f t="shared" si="0"/>
        <v>—</v>
      </c>
      <c r="J69" s="31" t="str">
        <f>IF(NOT(ISNUMBER(I69)),"—",IF(H69=0,IF(I69=0,"● Stable",IF(I69&gt;0,"▲ Rising","▼ Falling")),IF(ABS(I69)/ABS(H69)*100&lt;'⚙ Dashboard Settings'!$I$8,"● Stable",IF(I69&gt;0,"▲ Rising","▼ Falling"))))</f>
        <v>—</v>
      </c>
      <c r="K69" s="148" t="str">
        <f>IF('🧪 Lab Results'!$D$19="","",'🧪 Lab Results'!$D$19)</f>
        <v>≤ 5.7</v>
      </c>
      <c r="L69" s="148"/>
      <c r="M69" s="148" t="str">
        <f>IF('🧪 Lab Results'!$E$19="","",'🧪 Lab Results'!$E$19)</f>
        <v>≤ 7.0</v>
      </c>
      <c r="N69" s="148"/>
      <c r="O69" s="35" t="str">
        <f>IF(OR('⚙ Dashboard Settings'!$M$17=0,NOT(ISNUMBER(F69))),"—",IF(AND(ISNUMBER('⚙ Dashboard Settings'!$D$17),F69&lt;'⚙ Dashboard Settings'!$D$17),"▼ LOW",IF(AND(ISNUMBER('⚙ Dashboard Settings'!$E$17),F69&gt;'⚙ Dashboard Settings'!$E$17),"▲ HIGH",IF(AND(NOT(ISNUMBER('⚙ Dashboard Settings'!$D$17)),NOT(ISNUMBER('⚙ Dashboard Settings'!$E$17))),"—","✔ In range"))))</f>
        <v>—</v>
      </c>
      <c r="P69" s="31">
        <f>COUNT('🧪 Lab Results'!$G19:$Z19)</f>
        <v>0</v>
      </c>
      <c r="Q69" s="31" t="str">
        <f>IF('🧪 Lab Results'!$F$19="","",'🧪 Lab Results'!$F$19)</f>
        <v>3-Monthly</v>
      </c>
    </row>
    <row r="70" spans="2:17" ht="15" customHeight="1" x14ac:dyDescent="0.25">
      <c r="B70" s="147" t="str">
        <f>TRIM('🧪 Lab Results'!$B$21)</f>
        <v>Haemoglobin</v>
      </c>
      <c r="C70" s="147"/>
      <c r="D70" s="147"/>
      <c r="E70" s="31" t="str">
        <f>IF('🧪 Lab Results'!$C$21="","",'🧪 Lab Results'!$C$21)</f>
        <v>g/dL</v>
      </c>
      <c r="F70" s="35" t="str">
        <f>IF('⚙ Dashboard Settings'!$M$18=0,"—",INDEX('🧪 Lab Results'!$G21:$Z21,'⚙ Dashboard Settings'!$M$18-6))</f>
        <v>—</v>
      </c>
      <c r="G70" s="33" t="str">
        <f>IF('⚙ Dashboard Settings'!$M$18=0,"—",IF(INDEX('🧪 Lab Results'!$G$4:$Z$4,'⚙ Dashboard Settings'!$M$18-6)="","no date",INDEX('🧪 Lab Results'!$G$4:$Z$4,'⚙ Dashboard Settings'!$M$18-6)))</f>
        <v>—</v>
      </c>
      <c r="H70" s="31" t="str">
        <f>IF('⚙ Dashboard Settings'!$N$18=0,"—",INDEX('🧪 Lab Results'!$G21:$Z21,'⚙ Dashboard Settings'!$N$18-6))</f>
        <v>—</v>
      </c>
      <c r="I70" s="34" t="str">
        <f t="shared" si="0"/>
        <v>—</v>
      </c>
      <c r="J70" s="31" t="str">
        <f>IF(NOT(ISNUMBER(I70)),"—",IF(H70=0,IF(I70=0,"● Stable",IF(I70&gt;0,"▲ Rising","▼ Falling")),IF(ABS(I70)/ABS(H70)*100&lt;'⚙ Dashboard Settings'!$I$8,"● Stable",IF(I70&gt;0,"▲ Rising","▼ Falling"))))</f>
        <v>—</v>
      </c>
      <c r="K70" s="148" t="str">
        <f>IF('🧪 Lab Results'!$D$21="","",'🧪 Lab Results'!$D$21)</f>
        <v>12 – 17</v>
      </c>
      <c r="L70" s="148"/>
      <c r="M70" s="148" t="str">
        <f>IF('🧪 Lab Results'!$E$21="","",'🧪 Lab Results'!$E$21)</f>
        <v>11 – 14</v>
      </c>
      <c r="N70" s="148"/>
      <c r="O70" s="35" t="str">
        <f>IF(OR('⚙ Dashboard Settings'!$M$18=0,NOT(ISNUMBER(F70))),"—",IF(AND(ISNUMBER('⚙ Dashboard Settings'!$D$18),F70&lt;'⚙ Dashboard Settings'!$D$18),"▼ LOW",IF(AND(ISNUMBER('⚙ Dashboard Settings'!$E$18),F70&gt;'⚙ Dashboard Settings'!$E$18),"▲ HIGH",IF(AND(NOT(ISNUMBER('⚙ Dashboard Settings'!$D$18)),NOT(ISNUMBER('⚙ Dashboard Settings'!$E$18))),"—","✔ In range"))))</f>
        <v>—</v>
      </c>
      <c r="P70" s="31">
        <f>COUNT('🧪 Lab Results'!$G21:$Z21)</f>
        <v>0</v>
      </c>
      <c r="Q70" s="31" t="str">
        <f>IF('🧪 Lab Results'!$F$21="","",'🧪 Lab Results'!$F$21)</f>
        <v>Monthly</v>
      </c>
    </row>
    <row r="71" spans="2:17" ht="15" customHeight="1" x14ac:dyDescent="0.25">
      <c r="B71" s="147" t="str">
        <f>TRIM('🧪 Lab Results'!$B$22)</f>
        <v>TLC (WBC)</v>
      </c>
      <c r="C71" s="147"/>
      <c r="D71" s="147"/>
      <c r="E71" s="31" t="str">
        <f>IF('🧪 Lab Results'!$C$22="","",'🧪 Lab Results'!$C$22)</f>
        <v>×10³/μL</v>
      </c>
      <c r="F71" s="35" t="str">
        <f>IF('⚙ Dashboard Settings'!$M$19=0,"—",INDEX('🧪 Lab Results'!$G22:$Z22,'⚙ Dashboard Settings'!$M$19-6))</f>
        <v>—</v>
      </c>
      <c r="G71" s="33" t="str">
        <f>IF('⚙ Dashboard Settings'!$M$19=0,"—",IF(INDEX('🧪 Lab Results'!$G$4:$Z$4,'⚙ Dashboard Settings'!$M$19-6)="","no date",INDEX('🧪 Lab Results'!$G$4:$Z$4,'⚙ Dashboard Settings'!$M$19-6)))</f>
        <v>—</v>
      </c>
      <c r="H71" s="31" t="str">
        <f>IF('⚙ Dashboard Settings'!$N$19=0,"—",INDEX('🧪 Lab Results'!$G22:$Z22,'⚙ Dashboard Settings'!$N$19-6))</f>
        <v>—</v>
      </c>
      <c r="I71" s="34" t="str">
        <f t="shared" si="0"/>
        <v>—</v>
      </c>
      <c r="J71" s="31" t="str">
        <f>IF(NOT(ISNUMBER(I71)),"—",IF(H71=0,IF(I71=0,"● Stable",IF(I71&gt;0,"▲ Rising","▼ Falling")),IF(ABS(I71)/ABS(H71)*100&lt;'⚙ Dashboard Settings'!$I$8,"● Stable",IF(I71&gt;0,"▲ Rising","▼ Falling"))))</f>
        <v>—</v>
      </c>
      <c r="K71" s="148" t="str">
        <f>IF('🧪 Lab Results'!$D$22="","",'🧪 Lab Results'!$D$22)</f>
        <v>4 – 11</v>
      </c>
      <c r="L71" s="148"/>
      <c r="M71" s="148" t="str">
        <f>IF('🧪 Lab Results'!$E$22="","",'🧪 Lab Results'!$E$22)</f>
        <v>4 – 10</v>
      </c>
      <c r="N71" s="148"/>
      <c r="O71" s="35" t="str">
        <f>IF(OR('⚙ Dashboard Settings'!$M$19=0,NOT(ISNUMBER(F71))),"—",IF(AND(ISNUMBER('⚙ Dashboard Settings'!$D$19),F71&lt;'⚙ Dashboard Settings'!$D$19),"▼ LOW",IF(AND(ISNUMBER('⚙ Dashboard Settings'!$E$19),F71&gt;'⚙ Dashboard Settings'!$E$19),"▲ HIGH",IF(AND(NOT(ISNUMBER('⚙ Dashboard Settings'!$D$19)),NOT(ISNUMBER('⚙ Dashboard Settings'!$E$19))),"—","✔ In range"))))</f>
        <v>—</v>
      </c>
      <c r="P71" s="31">
        <f>COUNT('🧪 Lab Results'!$G22:$Z22)</f>
        <v>0</v>
      </c>
      <c r="Q71" s="31" t="str">
        <f>IF('🧪 Lab Results'!$F$22="","",'🧪 Lab Results'!$F$22)</f>
        <v>Monthly</v>
      </c>
    </row>
    <row r="72" spans="2:17" ht="15" customHeight="1" x14ac:dyDescent="0.25">
      <c r="B72" s="147" t="str">
        <f>TRIM('🧪 Lab Results'!$B$23)</f>
        <v>Platelets</v>
      </c>
      <c r="C72" s="147"/>
      <c r="D72" s="147"/>
      <c r="E72" s="31" t="str">
        <f>IF('🧪 Lab Results'!$C$23="","",'🧪 Lab Results'!$C$23)</f>
        <v>×10³/μL</v>
      </c>
      <c r="F72" s="35" t="str">
        <f>IF('⚙ Dashboard Settings'!$M$20=0,"—",INDEX('🧪 Lab Results'!$G23:$Z23,'⚙ Dashboard Settings'!$M$20-6))</f>
        <v>—</v>
      </c>
      <c r="G72" s="33" t="str">
        <f>IF('⚙ Dashboard Settings'!$M$20=0,"—",IF(INDEX('🧪 Lab Results'!$G$4:$Z$4,'⚙ Dashboard Settings'!$M$20-6)="","no date",INDEX('🧪 Lab Results'!$G$4:$Z$4,'⚙ Dashboard Settings'!$M$20-6)))</f>
        <v>—</v>
      </c>
      <c r="H72" s="31" t="str">
        <f>IF('⚙ Dashboard Settings'!$N$20=0,"—",INDEX('🧪 Lab Results'!$G23:$Z23,'⚙ Dashboard Settings'!$N$20-6))</f>
        <v>—</v>
      </c>
      <c r="I72" s="34" t="str">
        <f t="shared" si="0"/>
        <v>—</v>
      </c>
      <c r="J72" s="31" t="str">
        <f>IF(NOT(ISNUMBER(I72)),"—",IF(H72=0,IF(I72=0,"● Stable",IF(I72&gt;0,"▲ Rising","▼ Falling")),IF(ABS(I72)/ABS(H72)*100&lt;'⚙ Dashboard Settings'!$I$8,"● Stable",IF(I72&gt;0,"▲ Rising","▼ Falling"))))</f>
        <v>—</v>
      </c>
      <c r="K72" s="148" t="str">
        <f>IF('🧪 Lab Results'!$D$23="","",'🧪 Lab Results'!$D$23)</f>
        <v>150 – 400</v>
      </c>
      <c r="L72" s="148"/>
      <c r="M72" s="148" t="str">
        <f>IF('🧪 Lab Results'!$E$23="","",'🧪 Lab Results'!$E$23)</f>
        <v>150 – 350</v>
      </c>
      <c r="N72" s="148"/>
      <c r="O72" s="35" t="str">
        <f>IF(OR('⚙ Dashboard Settings'!$M$20=0,NOT(ISNUMBER(F72))),"—",IF(AND(ISNUMBER('⚙ Dashboard Settings'!$D$20),F72&lt;'⚙ Dashboard Settings'!$D$20),"▼ LOW",IF(AND(ISNUMBER('⚙ Dashboard Settings'!$E$20),F72&gt;'⚙ Dashboard Settings'!$E$20),"▲ HIGH",IF(AND(NOT(ISNUMBER('⚙ Dashboard Settings'!$D$20)),NOT(ISNUMBER('⚙ Dashboard Settings'!$E$20))),"—","✔ In range"))))</f>
        <v>—</v>
      </c>
      <c r="P72" s="31">
        <f>COUNT('🧪 Lab Results'!$G23:$Z23)</f>
        <v>0</v>
      </c>
      <c r="Q72" s="31" t="str">
        <f>IF('🧪 Lab Results'!$F$23="","",'🧪 Lab Results'!$F$23)</f>
        <v>Monthly</v>
      </c>
    </row>
    <row r="73" spans="2:17" ht="15" customHeight="1" x14ac:dyDescent="0.25">
      <c r="B73" s="147" t="str">
        <f>TRIM('🧪 Lab Results'!$B$25)</f>
        <v>Serum Albumin</v>
      </c>
      <c r="C73" s="147"/>
      <c r="D73" s="147"/>
      <c r="E73" s="31" t="str">
        <f>IF('🧪 Lab Results'!$C$25="","",'🧪 Lab Results'!$C$25)</f>
        <v>g/dL</v>
      </c>
      <c r="F73" s="35" t="str">
        <f>IF('⚙ Dashboard Settings'!$M$21=0,"—",INDEX('🧪 Lab Results'!$G25:$Z25,'⚙ Dashboard Settings'!$M$21-6))</f>
        <v>—</v>
      </c>
      <c r="G73" s="33" t="str">
        <f>IF('⚙ Dashboard Settings'!$M$21=0,"—",IF(INDEX('🧪 Lab Results'!$G$4:$Z$4,'⚙ Dashboard Settings'!$M$21-6)="","no date",INDEX('🧪 Lab Results'!$G$4:$Z$4,'⚙ Dashboard Settings'!$M$21-6)))</f>
        <v>—</v>
      </c>
      <c r="H73" s="31" t="str">
        <f>IF('⚙ Dashboard Settings'!$N$21=0,"—",INDEX('🧪 Lab Results'!$G25:$Z25,'⚙ Dashboard Settings'!$N$21-6))</f>
        <v>—</v>
      </c>
      <c r="I73" s="34" t="str">
        <f t="shared" si="0"/>
        <v>—</v>
      </c>
      <c r="J73" s="31" t="str">
        <f>IF(NOT(ISNUMBER(I73)),"—",IF(H73=0,IF(I73=0,"● Stable",IF(I73&gt;0,"▲ Rising","▼ Falling")),IF(ABS(I73)/ABS(H73)*100&lt;'⚙ Dashboard Settings'!$I$8,"● Stable",IF(I73&gt;0,"▲ Rising","▼ Falling"))))</f>
        <v>—</v>
      </c>
      <c r="K73" s="148" t="str">
        <f>IF('🧪 Lab Results'!$D$25="","",'🧪 Lab Results'!$D$25)</f>
        <v>3.5 – 5.0</v>
      </c>
      <c r="L73" s="148"/>
      <c r="M73" s="148" t="str">
        <f>IF('🧪 Lab Results'!$E$25="","",'🧪 Lab Results'!$E$25)</f>
        <v>3.5 – 5.0</v>
      </c>
      <c r="N73" s="148"/>
      <c r="O73" s="35" t="str">
        <f>IF(OR('⚙ Dashboard Settings'!$M$21=0,NOT(ISNUMBER(F73))),"—",IF(AND(ISNUMBER('⚙ Dashboard Settings'!$D$21),F73&lt;'⚙ Dashboard Settings'!$D$21),"▼ LOW",IF(AND(ISNUMBER('⚙ Dashboard Settings'!$E$21),F73&gt;'⚙ Dashboard Settings'!$E$21),"▲ HIGH",IF(AND(NOT(ISNUMBER('⚙ Dashboard Settings'!$D$21)),NOT(ISNUMBER('⚙ Dashboard Settings'!$E$21))),"—","✔ In range"))))</f>
        <v>—</v>
      </c>
      <c r="P73" s="31">
        <f>COUNT('🧪 Lab Results'!$G25:$Z25)</f>
        <v>0</v>
      </c>
      <c r="Q73" s="31" t="str">
        <f>IF('🧪 Lab Results'!$F$25="","",'🧪 Lab Results'!$F$25)</f>
        <v>Monthly</v>
      </c>
    </row>
    <row r="74" spans="2:17" ht="15" customHeight="1" x14ac:dyDescent="0.25">
      <c r="B74" s="147" t="str">
        <f>TRIM('🧪 Lab Results'!$B$26)</f>
        <v>Total Bilirubin</v>
      </c>
      <c r="C74" s="147"/>
      <c r="D74" s="147"/>
      <c r="E74" s="31" t="str">
        <f>IF('🧪 Lab Results'!$C$26="","",'🧪 Lab Results'!$C$26)</f>
        <v>mg/dL</v>
      </c>
      <c r="F74" s="35" t="str">
        <f>IF('⚙ Dashboard Settings'!$M$22=0,"—",INDEX('🧪 Lab Results'!$G26:$Z26,'⚙ Dashboard Settings'!$M$22-6))</f>
        <v>—</v>
      </c>
      <c r="G74" s="33" t="str">
        <f>IF('⚙ Dashboard Settings'!$M$22=0,"—",IF(INDEX('🧪 Lab Results'!$G$4:$Z$4,'⚙ Dashboard Settings'!$M$22-6)="","no date",INDEX('🧪 Lab Results'!$G$4:$Z$4,'⚙ Dashboard Settings'!$M$22-6)))</f>
        <v>—</v>
      </c>
      <c r="H74" s="31" t="str">
        <f>IF('⚙ Dashboard Settings'!$N$22=0,"—",INDEX('🧪 Lab Results'!$G26:$Z26,'⚙ Dashboard Settings'!$N$22-6))</f>
        <v>—</v>
      </c>
      <c r="I74" s="34" t="str">
        <f t="shared" si="0"/>
        <v>—</v>
      </c>
      <c r="J74" s="31" t="str">
        <f>IF(NOT(ISNUMBER(I74)),"—",IF(H74=0,IF(I74=0,"● Stable",IF(I74&gt;0,"▲ Rising","▼ Falling")),IF(ABS(I74)/ABS(H74)*100&lt;'⚙ Dashboard Settings'!$I$8,"● Stable",IF(I74&gt;0,"▲ Rising","▼ Falling"))))</f>
        <v>—</v>
      </c>
      <c r="K74" s="148" t="str">
        <f>IF('🧪 Lab Results'!$D$26="","",'🧪 Lab Results'!$D$26)</f>
        <v>≤ 1.2</v>
      </c>
      <c r="L74" s="148"/>
      <c r="M74" s="148" t="str">
        <f>IF('🧪 Lab Results'!$E$26="","",'🧪 Lab Results'!$E$26)</f>
        <v>≤ 1.2</v>
      </c>
      <c r="N74" s="148"/>
      <c r="O74" s="35" t="str">
        <f>IF(OR('⚙ Dashboard Settings'!$M$22=0,NOT(ISNUMBER(F74))),"—",IF(AND(ISNUMBER('⚙ Dashboard Settings'!$D$22),F74&lt;'⚙ Dashboard Settings'!$D$22),"▼ LOW",IF(AND(ISNUMBER('⚙ Dashboard Settings'!$E$22),F74&gt;'⚙ Dashboard Settings'!$E$22),"▲ HIGH",IF(AND(NOT(ISNUMBER('⚙ Dashboard Settings'!$D$22)),NOT(ISNUMBER('⚙ Dashboard Settings'!$E$22))),"—","✔ In range"))))</f>
        <v>—</v>
      </c>
      <c r="P74" s="31">
        <f>COUNT('🧪 Lab Results'!$G26:$Z26)</f>
        <v>0</v>
      </c>
      <c r="Q74" s="31" t="str">
        <f>IF('🧪 Lab Results'!$F$26="","",'🧪 Lab Results'!$F$26)</f>
        <v>3-Monthly</v>
      </c>
    </row>
    <row r="75" spans="2:17" ht="15" customHeight="1" x14ac:dyDescent="0.25">
      <c r="B75" s="147" t="str">
        <f>TRIM('🧪 Lab Results'!$B$27)</f>
        <v>SGOT / AST</v>
      </c>
      <c r="C75" s="147"/>
      <c r="D75" s="147"/>
      <c r="E75" s="31" t="str">
        <f>IF('🧪 Lab Results'!$C$27="","",'🧪 Lab Results'!$C$27)</f>
        <v>U/L</v>
      </c>
      <c r="F75" s="35" t="str">
        <f>IF('⚙ Dashboard Settings'!$M$23=0,"—",INDEX('🧪 Lab Results'!$G27:$Z27,'⚙ Dashboard Settings'!$M$23-6))</f>
        <v>—</v>
      </c>
      <c r="G75" s="33" t="str">
        <f>IF('⚙ Dashboard Settings'!$M$23=0,"—",IF(INDEX('🧪 Lab Results'!$G$4:$Z$4,'⚙ Dashboard Settings'!$M$23-6)="","no date",INDEX('🧪 Lab Results'!$G$4:$Z$4,'⚙ Dashboard Settings'!$M$23-6)))</f>
        <v>—</v>
      </c>
      <c r="H75" s="31" t="str">
        <f>IF('⚙ Dashboard Settings'!$N$23=0,"—",INDEX('🧪 Lab Results'!$G27:$Z27,'⚙ Dashboard Settings'!$N$23-6))</f>
        <v>—</v>
      </c>
      <c r="I75" s="34" t="str">
        <f t="shared" si="0"/>
        <v>—</v>
      </c>
      <c r="J75" s="31" t="str">
        <f>IF(NOT(ISNUMBER(I75)),"—",IF(H75=0,IF(I75=0,"● Stable",IF(I75&gt;0,"▲ Rising","▼ Falling")),IF(ABS(I75)/ABS(H75)*100&lt;'⚙ Dashboard Settings'!$I$8,"● Stable",IF(I75&gt;0,"▲ Rising","▼ Falling"))))</f>
        <v>—</v>
      </c>
      <c r="K75" s="148" t="str">
        <f>IF('🧪 Lab Results'!$D$27="","",'🧪 Lab Results'!$D$27)</f>
        <v>≤ 40</v>
      </c>
      <c r="L75" s="148"/>
      <c r="M75" s="148" t="str">
        <f>IF('🧪 Lab Results'!$E$27="","",'🧪 Lab Results'!$E$27)</f>
        <v>≤ 40</v>
      </c>
      <c r="N75" s="148"/>
      <c r="O75" s="35" t="str">
        <f>IF(OR('⚙ Dashboard Settings'!$M$23=0,NOT(ISNUMBER(F75))),"—",IF(AND(ISNUMBER('⚙ Dashboard Settings'!$D$23),F75&lt;'⚙ Dashboard Settings'!$D$23),"▼ LOW",IF(AND(ISNUMBER('⚙ Dashboard Settings'!$E$23),F75&gt;'⚙ Dashboard Settings'!$E$23),"▲ HIGH",IF(AND(NOT(ISNUMBER('⚙ Dashboard Settings'!$D$23)),NOT(ISNUMBER('⚙ Dashboard Settings'!$E$23))),"—","✔ In range"))))</f>
        <v>—</v>
      </c>
      <c r="P75" s="31">
        <f>COUNT('🧪 Lab Results'!$G27:$Z27)</f>
        <v>0</v>
      </c>
      <c r="Q75" s="31" t="str">
        <f>IF('🧪 Lab Results'!$F$27="","",'🧪 Lab Results'!$F$27)</f>
        <v>3-Monthly</v>
      </c>
    </row>
    <row r="76" spans="2:17" ht="15" customHeight="1" x14ac:dyDescent="0.25">
      <c r="B76" s="147" t="str">
        <f>TRIM('🧪 Lab Results'!$B$28)</f>
        <v>SGPT / ALT</v>
      </c>
      <c r="C76" s="147"/>
      <c r="D76" s="147"/>
      <c r="E76" s="31" t="str">
        <f>IF('🧪 Lab Results'!$C$28="","",'🧪 Lab Results'!$C$28)</f>
        <v>U/L</v>
      </c>
      <c r="F76" s="35" t="str">
        <f>IF('⚙ Dashboard Settings'!$M$24=0,"—",INDEX('🧪 Lab Results'!$G28:$Z28,'⚙ Dashboard Settings'!$M$24-6))</f>
        <v>—</v>
      </c>
      <c r="G76" s="33" t="str">
        <f>IF('⚙ Dashboard Settings'!$M$24=0,"—",IF(INDEX('🧪 Lab Results'!$G$4:$Z$4,'⚙ Dashboard Settings'!$M$24-6)="","no date",INDEX('🧪 Lab Results'!$G$4:$Z$4,'⚙ Dashboard Settings'!$M$24-6)))</f>
        <v>—</v>
      </c>
      <c r="H76" s="31" t="str">
        <f>IF('⚙ Dashboard Settings'!$N$24=0,"—",INDEX('🧪 Lab Results'!$G28:$Z28,'⚙ Dashboard Settings'!$N$24-6))</f>
        <v>—</v>
      </c>
      <c r="I76" s="34" t="str">
        <f t="shared" si="0"/>
        <v>—</v>
      </c>
      <c r="J76" s="31" t="str">
        <f>IF(NOT(ISNUMBER(I76)),"—",IF(H76=0,IF(I76=0,"● Stable",IF(I76&gt;0,"▲ Rising","▼ Falling")),IF(ABS(I76)/ABS(H76)*100&lt;'⚙ Dashboard Settings'!$I$8,"● Stable",IF(I76&gt;0,"▲ Rising","▼ Falling"))))</f>
        <v>—</v>
      </c>
      <c r="K76" s="148" t="str">
        <f>IF('🧪 Lab Results'!$D$28="","",'🧪 Lab Results'!$D$28)</f>
        <v>≤ 56</v>
      </c>
      <c r="L76" s="148"/>
      <c r="M76" s="148" t="str">
        <f>IF('🧪 Lab Results'!$E$28="","",'🧪 Lab Results'!$E$28)</f>
        <v>≤ 56</v>
      </c>
      <c r="N76" s="148"/>
      <c r="O76" s="35" t="str">
        <f>IF(OR('⚙ Dashboard Settings'!$M$24=0,NOT(ISNUMBER(F76))),"—",IF(AND(ISNUMBER('⚙ Dashboard Settings'!$D$24),F76&lt;'⚙ Dashboard Settings'!$D$24),"▼ LOW",IF(AND(ISNUMBER('⚙ Dashboard Settings'!$E$24),F76&gt;'⚙ Dashboard Settings'!$E$24),"▲ HIGH",IF(AND(NOT(ISNUMBER('⚙ Dashboard Settings'!$D$24)),NOT(ISNUMBER('⚙ Dashboard Settings'!$E$24))),"—","✔ In range"))))</f>
        <v>—</v>
      </c>
      <c r="P76" s="31">
        <f>COUNT('🧪 Lab Results'!$G28:$Z28)</f>
        <v>0</v>
      </c>
      <c r="Q76" s="31" t="str">
        <f>IF('🧪 Lab Results'!$F$28="","",'🧪 Lab Results'!$F$28)</f>
        <v>3-Monthly</v>
      </c>
    </row>
    <row r="77" spans="2:17" ht="15" customHeight="1" x14ac:dyDescent="0.25">
      <c r="B77" s="147" t="str">
        <f>TRIM('🧪 Lab Results'!$B$29)</f>
        <v>Lipid Profile (LDL)</v>
      </c>
      <c r="C77" s="147"/>
      <c r="D77" s="147"/>
      <c r="E77" s="31" t="str">
        <f>IF('🧪 Lab Results'!$C$29="","",'🧪 Lab Results'!$C$29)</f>
        <v>mg/dL</v>
      </c>
      <c r="F77" s="35" t="str">
        <f>IF('⚙ Dashboard Settings'!$M$25=0,"—",INDEX('🧪 Lab Results'!$G29:$Z29,'⚙ Dashboard Settings'!$M$25-6))</f>
        <v>—</v>
      </c>
      <c r="G77" s="33" t="str">
        <f>IF('⚙ Dashboard Settings'!$M$25=0,"—",IF(INDEX('🧪 Lab Results'!$G$4:$Z$4,'⚙ Dashboard Settings'!$M$25-6)="","no date",INDEX('🧪 Lab Results'!$G$4:$Z$4,'⚙ Dashboard Settings'!$M$25-6)))</f>
        <v>—</v>
      </c>
      <c r="H77" s="31" t="str">
        <f>IF('⚙ Dashboard Settings'!$N$25=0,"—",INDEX('🧪 Lab Results'!$G29:$Z29,'⚙ Dashboard Settings'!$N$25-6))</f>
        <v>—</v>
      </c>
      <c r="I77" s="34" t="str">
        <f t="shared" si="0"/>
        <v>—</v>
      </c>
      <c r="J77" s="31" t="str">
        <f>IF(NOT(ISNUMBER(I77)),"—",IF(H77=0,IF(I77=0,"● Stable",IF(I77&gt;0,"▲ Rising","▼ Falling")),IF(ABS(I77)/ABS(H77)*100&lt;'⚙ Dashboard Settings'!$I$8,"● Stable",IF(I77&gt;0,"▲ Rising","▼ Falling"))))</f>
        <v>—</v>
      </c>
      <c r="K77" s="148" t="str">
        <f>IF('🧪 Lab Results'!$D$29="","",'🧪 Lab Results'!$D$29)</f>
        <v>≤ 100</v>
      </c>
      <c r="L77" s="148"/>
      <c r="M77" s="148" t="str">
        <f>IF('🧪 Lab Results'!$E$29="","",'🧪 Lab Results'!$E$29)</f>
        <v>≤ 100</v>
      </c>
      <c r="N77" s="148"/>
      <c r="O77" s="35" t="str">
        <f>IF(OR('⚙ Dashboard Settings'!$M$25=0,NOT(ISNUMBER(F77))),"—",IF(AND(ISNUMBER('⚙ Dashboard Settings'!$D$25),F77&lt;'⚙ Dashboard Settings'!$D$25),"▼ LOW",IF(AND(ISNUMBER('⚙ Dashboard Settings'!$E$25),F77&gt;'⚙ Dashboard Settings'!$E$25),"▲ HIGH",IF(AND(NOT(ISNUMBER('⚙ Dashboard Settings'!$D$25)),NOT(ISNUMBER('⚙ Dashboard Settings'!$E$25))),"—","✔ In range"))))</f>
        <v>—</v>
      </c>
      <c r="P77" s="31">
        <f>COUNT('🧪 Lab Results'!$G29:$Z29)</f>
        <v>0</v>
      </c>
      <c r="Q77" s="31" t="str">
        <f>IF('🧪 Lab Results'!$F$29="","",'🧪 Lab Results'!$F$29)</f>
        <v>3-Monthly</v>
      </c>
    </row>
    <row r="78" spans="2:17" ht="15" customHeight="1" x14ac:dyDescent="0.25">
      <c r="B78" s="147" t="str">
        <f>TRIM('🧪 Lab Results'!$B$31)</f>
        <v>Vitamin D (25-OH)</v>
      </c>
      <c r="C78" s="147"/>
      <c r="D78" s="147"/>
      <c r="E78" s="31" t="str">
        <f>IF('🧪 Lab Results'!$C$31="","",'🧪 Lab Results'!$C$31)</f>
        <v>ng/mL</v>
      </c>
      <c r="F78" s="35" t="str">
        <f>IF('⚙ Dashboard Settings'!$M$26=0,"—",INDEX('🧪 Lab Results'!$G31:$Z31,'⚙ Dashboard Settings'!$M$26-6))</f>
        <v>—</v>
      </c>
      <c r="G78" s="33" t="str">
        <f>IF('⚙ Dashboard Settings'!$M$26=0,"—",IF(INDEX('🧪 Lab Results'!$G$4:$Z$4,'⚙ Dashboard Settings'!$M$26-6)="","no date",INDEX('🧪 Lab Results'!$G$4:$Z$4,'⚙ Dashboard Settings'!$M$26-6)))</f>
        <v>—</v>
      </c>
      <c r="H78" s="31" t="str">
        <f>IF('⚙ Dashboard Settings'!$N$26=0,"—",INDEX('🧪 Lab Results'!$G31:$Z31,'⚙ Dashboard Settings'!$N$26-6))</f>
        <v>—</v>
      </c>
      <c r="I78" s="34" t="str">
        <f t="shared" si="0"/>
        <v>—</v>
      </c>
      <c r="J78" s="31" t="str">
        <f>IF(NOT(ISNUMBER(I78)),"—",IF(H78=0,IF(I78=0,"● Stable",IF(I78&gt;0,"▲ Rising","▼ Falling")),IF(ABS(I78)/ABS(H78)*100&lt;'⚙ Dashboard Settings'!$I$8,"● Stable",IF(I78&gt;0,"▲ Rising","▼ Falling"))))</f>
        <v>—</v>
      </c>
      <c r="K78" s="148" t="str">
        <f>IF('🧪 Lab Results'!$D$31="","",'🧪 Lab Results'!$D$31)</f>
        <v>30 – 100</v>
      </c>
      <c r="L78" s="148"/>
      <c r="M78" s="148" t="str">
        <f>IF('🧪 Lab Results'!$E$31="","",'🧪 Lab Results'!$E$31)</f>
        <v>30 – 100</v>
      </c>
      <c r="N78" s="148"/>
      <c r="O78" s="35" t="str">
        <f>IF(OR('⚙ Dashboard Settings'!$M$26=0,NOT(ISNUMBER(F78))),"—",IF(AND(ISNUMBER('⚙ Dashboard Settings'!$D$26),F78&lt;'⚙ Dashboard Settings'!$D$26),"▼ LOW",IF(AND(ISNUMBER('⚙ Dashboard Settings'!$E$26),F78&gt;'⚙ Dashboard Settings'!$E$26),"▲ HIGH",IF(AND(NOT(ISNUMBER('⚙ Dashboard Settings'!$D$26)),NOT(ISNUMBER('⚙ Dashboard Settings'!$E$26))),"—","✔ In range"))))</f>
        <v>—</v>
      </c>
      <c r="P78" s="31">
        <f>COUNT('🧪 Lab Results'!$G31:$Z31)</f>
        <v>0</v>
      </c>
      <c r="Q78" s="31" t="str">
        <f>IF('🧪 Lab Results'!$F$31="","",'🧪 Lab Results'!$F$31)</f>
        <v>3-Monthly</v>
      </c>
    </row>
    <row r="79" spans="2:17" ht="15" customHeight="1" x14ac:dyDescent="0.25">
      <c r="B79" s="147" t="str">
        <f>TRIM('🧪 Lab Results'!$B$38)</f>
        <v>Urine PCR (UACR)</v>
      </c>
      <c r="C79" s="147"/>
      <c r="D79" s="147"/>
      <c r="E79" s="31" t="str">
        <f>IF('🧪 Lab Results'!$C$38="","",'🧪 Lab Results'!$C$38)</f>
        <v>mg/g</v>
      </c>
      <c r="F79" s="35" t="str">
        <f>IF('⚙ Dashboard Settings'!$M$27=0,"—",INDEX('🧪 Lab Results'!$G38:$Z38,'⚙ Dashboard Settings'!$M$27-6))</f>
        <v>—</v>
      </c>
      <c r="G79" s="33" t="str">
        <f>IF('⚙ Dashboard Settings'!$M$27=0,"—",IF(INDEX('🧪 Lab Results'!$G$4:$Z$4,'⚙ Dashboard Settings'!$M$27-6)="","no date",INDEX('🧪 Lab Results'!$G$4:$Z$4,'⚙ Dashboard Settings'!$M$27-6)))</f>
        <v>—</v>
      </c>
      <c r="H79" s="31" t="str">
        <f>IF('⚙ Dashboard Settings'!$N$27=0,"—",INDEX('🧪 Lab Results'!$G38:$Z38,'⚙ Dashboard Settings'!$N$27-6))</f>
        <v>—</v>
      </c>
      <c r="I79" s="34" t="str">
        <f t="shared" si="0"/>
        <v>—</v>
      </c>
      <c r="J79" s="31" t="str">
        <f>IF(NOT(ISNUMBER(I79)),"—",IF(H79=0,IF(I79=0,"● Stable",IF(I79&gt;0,"▲ Rising","▼ Falling")),IF(ABS(I79)/ABS(H79)*100&lt;'⚙ Dashboard Settings'!$I$8,"● Stable",IF(I79&gt;0,"▲ Rising","▼ Falling"))))</f>
        <v>—</v>
      </c>
      <c r="K79" s="148" t="str">
        <f>IF('🧪 Lab Results'!$D$38="","",'🧪 Lab Results'!$D$38)</f>
        <v>&lt; 150</v>
      </c>
      <c r="L79" s="148"/>
      <c r="M79" s="148" t="str">
        <f>IF('🧪 Lab Results'!$E$38="","",'🧪 Lab Results'!$E$38)</f>
        <v>&lt; 300</v>
      </c>
      <c r="N79" s="148"/>
      <c r="O79" s="35" t="str">
        <f>IF(OR('⚙ Dashboard Settings'!$M$27=0,NOT(ISNUMBER(F79))),"—",IF(AND(ISNUMBER('⚙ Dashboard Settings'!$D$27),F79&lt;'⚙ Dashboard Settings'!$D$27),"▼ LOW",IF(AND(ISNUMBER('⚙ Dashboard Settings'!$E$27),F79&gt;'⚙ Dashboard Settings'!$E$27),"▲ HIGH",IF(AND(NOT(ISNUMBER('⚙ Dashboard Settings'!$D$27)),NOT(ISNUMBER('⚙ Dashboard Settings'!$E$27))),"—","✔ In range"))))</f>
        <v>—</v>
      </c>
      <c r="P79" s="31">
        <f>COUNT('🧪 Lab Results'!$G38:$Z38)</f>
        <v>0</v>
      </c>
      <c r="Q79" s="31" t="str">
        <f>IF('🧪 Lab Results'!$F$38="","",'🧪 Lab Results'!$F$38)</f>
        <v>Monthly</v>
      </c>
    </row>
    <row r="80" spans="2:17" ht="15" customHeight="1" x14ac:dyDescent="0.25">
      <c r="B80" s="147" t="str">
        <f>TRIM('🧪 Lab Results'!$B$39)</f>
        <v>24h Urine Protein</v>
      </c>
      <c r="C80" s="147"/>
      <c r="D80" s="147"/>
      <c r="E80" s="31" t="str">
        <f>IF('🧪 Lab Results'!$C$39="","",'🧪 Lab Results'!$C$39)</f>
        <v>mg/24h</v>
      </c>
      <c r="F80" s="35" t="str">
        <f>IF('⚙ Dashboard Settings'!$M$28=0,"—",INDEX('🧪 Lab Results'!$G39:$Z39,'⚙ Dashboard Settings'!$M$28-6))</f>
        <v>—</v>
      </c>
      <c r="G80" s="33" t="str">
        <f>IF('⚙ Dashboard Settings'!$M$28=0,"—",IF(INDEX('🧪 Lab Results'!$G$4:$Z$4,'⚙ Dashboard Settings'!$M$28-6)="","no date",INDEX('🧪 Lab Results'!$G$4:$Z$4,'⚙ Dashboard Settings'!$M$28-6)))</f>
        <v>—</v>
      </c>
      <c r="H80" s="31" t="str">
        <f>IF('⚙ Dashboard Settings'!$N$28=0,"—",INDEX('🧪 Lab Results'!$G39:$Z39,'⚙ Dashboard Settings'!$N$28-6))</f>
        <v>—</v>
      </c>
      <c r="I80" s="34" t="str">
        <f t="shared" si="0"/>
        <v>—</v>
      </c>
      <c r="J80" s="31" t="str">
        <f>IF(NOT(ISNUMBER(I80)),"—",IF(H80=0,IF(I80=0,"● Stable",IF(I80&gt;0,"▲ Rising","▼ Falling")),IF(ABS(I80)/ABS(H80)*100&lt;'⚙ Dashboard Settings'!$I$8,"● Stable",IF(I80&gt;0,"▲ Rising","▼ Falling"))))</f>
        <v>—</v>
      </c>
      <c r="K80" s="148" t="str">
        <f>IF('🧪 Lab Results'!$D$39="","",'🧪 Lab Results'!$D$39)</f>
        <v>&lt; 150</v>
      </c>
      <c r="L80" s="148"/>
      <c r="M80" s="148" t="str">
        <f>IF('🧪 Lab Results'!$E$39="","",'🧪 Lab Results'!$E$39)</f>
        <v>&lt; 300</v>
      </c>
      <c r="N80" s="148"/>
      <c r="O80" s="35" t="str">
        <f>IF(OR('⚙ Dashboard Settings'!$M$28=0,NOT(ISNUMBER(F80))),"—",IF(AND(ISNUMBER('⚙ Dashboard Settings'!$D$28),F80&lt;'⚙ Dashboard Settings'!$D$28),"▼ LOW",IF(AND(ISNUMBER('⚙ Dashboard Settings'!$E$28),F80&gt;'⚙ Dashboard Settings'!$E$28),"▲ HIGH",IF(AND(NOT(ISNUMBER('⚙ Dashboard Settings'!$D$28)),NOT(ISNUMBER('⚙ Dashboard Settings'!$E$28))),"—","✔ In range"))))</f>
        <v>—</v>
      </c>
      <c r="P80" s="31">
        <f>COUNT('🧪 Lab Results'!$G39:$Z39)</f>
        <v>0</v>
      </c>
      <c r="Q80" s="31" t="str">
        <f>IF('🧪 Lab Results'!$F$39="","",'🧪 Lab Results'!$F$39)</f>
        <v>If indicated</v>
      </c>
    </row>
    <row r="81" spans="2:17" ht="24" customHeight="1" x14ac:dyDescent="0.25">
      <c r="B81" s="146" t="s">
        <v>264</v>
      </c>
      <c r="C81" s="146"/>
      <c r="D81" s="146"/>
      <c r="E81" s="29" t="s">
        <v>111</v>
      </c>
      <c r="F81" s="146" t="s">
        <v>265</v>
      </c>
      <c r="G81" s="146"/>
      <c r="H81" s="146"/>
      <c r="I81" s="29" t="s">
        <v>91</v>
      </c>
      <c r="J81" s="146" t="s">
        <v>266</v>
      </c>
      <c r="K81" s="146"/>
      <c r="L81" s="146" t="s">
        <v>262</v>
      </c>
      <c r="M81" s="146"/>
      <c r="N81" s="146"/>
      <c r="O81" s="29" t="s">
        <v>241</v>
      </c>
      <c r="P81" s="146" t="s">
        <v>114</v>
      </c>
      <c r="Q81" s="146"/>
    </row>
    <row r="82" spans="2:17" ht="20.100000000000001" customHeight="1" x14ac:dyDescent="0.25">
      <c r="B82" s="147" t="str">
        <f>TRIM('🧪 Lab Results'!$B$32)</f>
        <v>BKV PCR</v>
      </c>
      <c r="C82" s="147"/>
      <c r="D82" s="147"/>
      <c r="E82" s="31" t="str">
        <f>IF('🧪 Lab Results'!$C$32="","",'🧪 Lab Results'!$C$32)</f>
        <v>copies/mL</v>
      </c>
      <c r="F82" s="149" t="str">
        <f>IF('⚙ Dashboard Settings'!$M$29=0,"—",INDEX('🧪 Lab Results'!$G32:$Z32,'⚙ Dashboard Settings'!$M$29-6))</f>
        <v>—</v>
      </c>
      <c r="G82" s="149"/>
      <c r="H82" s="149"/>
      <c r="I82" s="33" t="str">
        <f>IF('⚙ Dashboard Settings'!$M$29=0,"—",IF(INDEX('🧪 Lab Results'!$G$4:$Z$4,'⚙ Dashboard Settings'!$M$29-6)="","no date",INDEX('🧪 Lab Results'!$G$4:$Z$4,'⚙ Dashboard Settings'!$M$29-6)))</f>
        <v>—</v>
      </c>
      <c r="J82" s="149" t="str">
        <f>IF('⚙ Dashboard Settings'!$N$29=0,"—",INDEX('🧪 Lab Results'!$G32:$Z32,'⚙ Dashboard Settings'!$N$29-6))</f>
        <v>—</v>
      </c>
      <c r="K82" s="149"/>
      <c r="L82" s="148" t="str">
        <f>IF('🧪 Lab Results'!$E$32="","",'🧪 Lab Results'!$E$32)</f>
        <v>&lt; 10,000</v>
      </c>
      <c r="M82" s="148"/>
      <c r="N82" s="148"/>
      <c r="O82" s="35" t="str">
        <f>IF('⚙ Dashboard Settings'!$M$29=0,"—","Doctor review")</f>
        <v>—</v>
      </c>
      <c r="P82" s="148" t="str">
        <f>IF('🧪 Lab Results'!$F$32="","",'🧪 Lab Results'!$F$32)</f>
        <v>Monthly × 9m then 3m</v>
      </c>
      <c r="Q82" s="148"/>
    </row>
    <row r="83" spans="2:17" ht="20.100000000000001" customHeight="1" x14ac:dyDescent="0.25">
      <c r="B83" s="147" t="str">
        <f>TRIM('🧪 Lab Results'!$B$33)</f>
        <v>CMV PCR</v>
      </c>
      <c r="C83" s="147"/>
      <c r="D83" s="147"/>
      <c r="E83" s="31" t="str">
        <f>IF('🧪 Lab Results'!$C$33="","",'🧪 Lab Results'!$C$33)</f>
        <v>copies/mL</v>
      </c>
      <c r="F83" s="149" t="str">
        <f>IF('⚙ Dashboard Settings'!$M$30=0,"—",INDEX('🧪 Lab Results'!$G33:$Z33,'⚙ Dashboard Settings'!$M$30-6))</f>
        <v>—</v>
      </c>
      <c r="G83" s="149"/>
      <c r="H83" s="149"/>
      <c r="I83" s="33" t="str">
        <f>IF('⚙ Dashboard Settings'!$M$30=0,"—",IF(INDEX('🧪 Lab Results'!$G$4:$Z$4,'⚙ Dashboard Settings'!$M$30-6)="","no date",INDEX('🧪 Lab Results'!$G$4:$Z$4,'⚙ Dashboard Settings'!$M$30-6)))</f>
        <v>—</v>
      </c>
      <c r="J83" s="149" t="str">
        <f>IF('⚙ Dashboard Settings'!$N$30=0,"—",INDEX('🧪 Lab Results'!$G33:$Z33,'⚙ Dashboard Settings'!$N$30-6))</f>
        <v>—</v>
      </c>
      <c r="K83" s="149"/>
      <c r="L83" s="148" t="str">
        <f>IF('🧪 Lab Results'!$E$33="","",'🧪 Lab Results'!$E$33)</f>
        <v>Undetectable</v>
      </c>
      <c r="M83" s="148"/>
      <c r="N83" s="148"/>
      <c r="O83" s="35" t="str">
        <f>IF('⚙ Dashboard Settings'!$M$30=0,"—","Doctor review")</f>
        <v>—</v>
      </c>
      <c r="P83" s="148" t="str">
        <f>IF('🧪 Lab Results'!$F$33="","",'🧪 Lab Results'!$F$33)</f>
        <v>Monthly × 6m</v>
      </c>
      <c r="Q83" s="148"/>
    </row>
    <row r="84" spans="2:17" ht="20.100000000000001" customHeight="1" x14ac:dyDescent="0.25">
      <c r="B84" s="147" t="str">
        <f>TRIM('🧪 Lab Results'!$B$35)</f>
        <v>Urine RE (Protein)</v>
      </c>
      <c r="C84" s="147"/>
      <c r="D84" s="147"/>
      <c r="E84" s="31" t="str">
        <f>IF('🧪 Lab Results'!$C$35="","",'🧪 Lab Results'!$C$35)</f>
        <v>–</v>
      </c>
      <c r="F84" s="149" t="str">
        <f>IF('⚙ Dashboard Settings'!$M$31=0,"—",INDEX('🧪 Lab Results'!$G35:$Z35,'⚙ Dashboard Settings'!$M$31-6))</f>
        <v>—</v>
      </c>
      <c r="G84" s="149"/>
      <c r="H84" s="149"/>
      <c r="I84" s="33" t="str">
        <f>IF('⚙ Dashboard Settings'!$M$31=0,"—",IF(INDEX('🧪 Lab Results'!$G$4:$Z$4,'⚙ Dashboard Settings'!$M$31-6)="","no date",INDEX('🧪 Lab Results'!$G$4:$Z$4,'⚙ Dashboard Settings'!$M$31-6)))</f>
        <v>—</v>
      </c>
      <c r="J84" s="149" t="str">
        <f>IF('⚙ Dashboard Settings'!$N$31=0,"—",INDEX('🧪 Lab Results'!$G35:$Z35,'⚙ Dashboard Settings'!$N$31-6))</f>
        <v>—</v>
      </c>
      <c r="K84" s="149"/>
      <c r="L84" s="148" t="str">
        <f>IF('🧪 Lab Results'!$E$35="","",'🧪 Lab Results'!$E$35)</f>
        <v>Nil / Trace</v>
      </c>
      <c r="M84" s="148"/>
      <c r="N84" s="148"/>
      <c r="O84" s="35" t="str">
        <f>IF('⚙ Dashboard Settings'!$M$31=0,"—","Doctor review")</f>
        <v>—</v>
      </c>
      <c r="P84" s="148" t="str">
        <f>IF('🧪 Lab Results'!$F$35="","",'🧪 Lab Results'!$F$35)</f>
        <v>Monthly</v>
      </c>
      <c r="Q84" s="148"/>
    </row>
    <row r="85" spans="2:17" ht="20.100000000000001" customHeight="1" x14ac:dyDescent="0.25">
      <c r="B85" s="147" t="str">
        <f>TRIM('🧪 Lab Results'!$B$36)</f>
        <v>Urine RE (RBC/WBC)</v>
      </c>
      <c r="C85" s="147"/>
      <c r="D85" s="147"/>
      <c r="E85" s="31" t="str">
        <f>IF('🧪 Lab Results'!$C$36="","",'🧪 Lab Results'!$C$36)</f>
        <v>cells/hpf</v>
      </c>
      <c r="F85" s="149" t="str">
        <f>IF('⚙ Dashboard Settings'!$M$32=0,"—",INDEX('🧪 Lab Results'!$G36:$Z36,'⚙ Dashboard Settings'!$M$32-6))</f>
        <v>—</v>
      </c>
      <c r="G85" s="149"/>
      <c r="H85" s="149"/>
      <c r="I85" s="33" t="str">
        <f>IF('⚙ Dashboard Settings'!$M$32=0,"—",IF(INDEX('🧪 Lab Results'!$G$4:$Z$4,'⚙ Dashboard Settings'!$M$32-6)="","no date",INDEX('🧪 Lab Results'!$G$4:$Z$4,'⚙ Dashboard Settings'!$M$32-6)))</f>
        <v>—</v>
      </c>
      <c r="J85" s="149" t="str">
        <f>IF('⚙ Dashboard Settings'!$N$32=0,"—",INDEX('🧪 Lab Results'!$G36:$Z36,'⚙ Dashboard Settings'!$N$32-6))</f>
        <v>—</v>
      </c>
      <c r="K85" s="149"/>
      <c r="L85" s="148" t="str">
        <f>IF('🧪 Lab Results'!$E$36="","",'🧪 Lab Results'!$E$36)</f>
        <v>≤ 5</v>
      </c>
      <c r="M85" s="148"/>
      <c r="N85" s="148"/>
      <c r="O85" s="35" t="str">
        <f>IF('⚙ Dashboard Settings'!$M$32=0,"—","Doctor review")</f>
        <v>—</v>
      </c>
      <c r="P85" s="148" t="str">
        <f>IF('🧪 Lab Results'!$F$36="","",'🧪 Lab Results'!$F$36)</f>
        <v>Monthly</v>
      </c>
      <c r="Q85" s="148"/>
    </row>
    <row r="86" spans="2:17" ht="20.100000000000001" customHeight="1" x14ac:dyDescent="0.25">
      <c r="B86" s="147" t="str">
        <f>TRIM('🧪 Lab Results'!$B$37)</f>
        <v>Urine C/S</v>
      </c>
      <c r="C86" s="147"/>
      <c r="D86" s="147"/>
      <c r="E86" s="31" t="str">
        <f>IF('🧪 Lab Results'!$C$37="","",'🧪 Lab Results'!$C$37)</f>
        <v>–</v>
      </c>
      <c r="F86" s="149" t="str">
        <f>IF('⚙ Dashboard Settings'!$M$33=0,"—",INDEX('🧪 Lab Results'!$G37:$Z37,'⚙ Dashboard Settings'!$M$33-6))</f>
        <v>—</v>
      </c>
      <c r="G86" s="149"/>
      <c r="H86" s="149"/>
      <c r="I86" s="33" t="str">
        <f>IF('⚙ Dashboard Settings'!$M$33=0,"—",IF(INDEX('🧪 Lab Results'!$G$4:$Z$4,'⚙ Dashboard Settings'!$M$33-6)="","no date",INDEX('🧪 Lab Results'!$G$4:$Z$4,'⚙ Dashboard Settings'!$M$33-6)))</f>
        <v>—</v>
      </c>
      <c r="J86" s="149" t="str">
        <f>IF('⚙ Dashboard Settings'!$N$33=0,"—",INDEX('🧪 Lab Results'!$G37:$Z37,'⚙ Dashboard Settings'!$N$33-6))</f>
        <v>—</v>
      </c>
      <c r="K86" s="149"/>
      <c r="L86" s="148" t="str">
        <f>IF('🧪 Lab Results'!$E$37="","",'🧪 Lab Results'!$E$37)</f>
        <v>No Growth</v>
      </c>
      <c r="M86" s="148"/>
      <c r="N86" s="148"/>
      <c r="O86" s="35" t="str">
        <f>IF('⚙ Dashboard Settings'!$M$33=0,"—","Doctor review")</f>
        <v>—</v>
      </c>
      <c r="P86" s="148" t="str">
        <f>IF('🧪 Lab Results'!$F$37="","",'🧪 Lab Results'!$F$37)</f>
        <v>If symptomatic</v>
      </c>
      <c r="Q86" s="148"/>
    </row>
    <row r="87" spans="2:17" ht="36" customHeight="1" x14ac:dyDescent="0.25">
      <c r="B87" s="145" t="s">
        <v>267</v>
      </c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</row>
    <row r="88" spans="2:17" ht="8.1" customHeight="1" x14ac:dyDescent="0.25"/>
    <row r="89" spans="2:17" ht="21.75" customHeight="1" x14ac:dyDescent="0.25">
      <c r="B89" s="144" t="s">
        <v>268</v>
      </c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</row>
    <row r="90" spans="2:17" ht="15" customHeight="1" x14ac:dyDescent="0.25"/>
    <row r="91" spans="2:17" ht="15" customHeight="1" x14ac:dyDescent="0.25"/>
    <row r="92" spans="2:17" ht="15" customHeight="1" x14ac:dyDescent="0.25"/>
    <row r="93" spans="2:17" ht="15" customHeight="1" x14ac:dyDescent="0.25"/>
    <row r="94" spans="2:17" ht="15" customHeight="1" x14ac:dyDescent="0.25"/>
    <row r="95" spans="2:17" ht="15" customHeight="1" x14ac:dyDescent="0.25"/>
    <row r="96" spans="2:17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spans="2:17" ht="15" customHeight="1" x14ac:dyDescent="0.25"/>
    <row r="162" spans="2:17" ht="21.75" customHeight="1" x14ac:dyDescent="0.25">
      <c r="B162" s="144" t="s">
        <v>269</v>
      </c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</row>
    <row r="163" spans="2:17" ht="15" customHeight="1" x14ac:dyDescent="0.25">
      <c r="B163" s="145" t="str">
        <f>"Daily fasting readings. Target "&amp;'⚙ Dashboard Settings'!$I$5&amp;"–"&amp;'⚙ Dashboard Settings'!$I$6&amp;" mg/dL; alert above "&amp;'⚙ Dashboard Settings'!$I$7&amp;" mg/dL (edit in ⚙ Dashboard Settings). 7- and 30-day windows end at the latest logged date"&amp;IF(MAX('📅 Daily Vitals Log'!$B$4:$B$113)=0,"."," ("&amp;TEXT(MAX('📅 Daily Vitals Log'!$B$4:$B$113),"dd-mmm-yyyy")&amp;").")</f>
        <v>Daily fasting readings. Target 70–126 mg/dL; alert above 180 mg/dL (edit in ⚙ Dashboard Settings). 7- and 30-day windows end at the latest logged date.</v>
      </c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</row>
    <row r="164" spans="2:17" ht="30" customHeight="1" x14ac:dyDescent="0.25">
      <c r="B164" s="150" t="s">
        <v>270</v>
      </c>
      <c r="C164" s="150"/>
      <c r="D164" s="150" t="s">
        <v>271</v>
      </c>
      <c r="E164" s="150"/>
      <c r="F164" s="150" t="s">
        <v>272</v>
      </c>
      <c r="G164" s="150"/>
      <c r="H164" s="150" t="str">
        <f>"% in target "&amp;'⚙ Dashboard Settings'!$I$5&amp;"–"&amp;'⚙ Dashboard Settings'!$I$6&amp;" (30 d)"</f>
        <v>% in target 70–126 (30 d)</v>
      </c>
      <c r="I164" s="150"/>
      <c r="J164" s="150" t="str">
        <f>"Readings above "&amp;'⚙ Dashboard Settings'!$I$7&amp;" (30 d)"</f>
        <v>Readings above 180 (30 d)</v>
      </c>
      <c r="K164" s="150"/>
      <c r="L164" s="150" t="str">
        <f>"Readings below "&amp;'⚙ Dashboard Settings'!$I$5&amp;" (30 d)"</f>
        <v>Readings below 70 (30 d)</v>
      </c>
      <c r="M164" s="150"/>
      <c r="N164" s="150" t="s">
        <v>273</v>
      </c>
      <c r="O164" s="150"/>
      <c r="P164" s="150" t="s">
        <v>274</v>
      </c>
      <c r="Q164" s="150"/>
    </row>
    <row r="165" spans="2:17" ht="32.1" customHeight="1" x14ac:dyDescent="0.25">
      <c r="B165" s="151" t="str">
        <f>IFERROR(LOOKUP(2,1/('📅 Daily Vitals Log'!$M$4:$M$113&lt;&gt;""),'📅 Daily Vitals Log'!$M$4:$M$113),"—")</f>
        <v>—</v>
      </c>
      <c r="C165" s="151"/>
      <c r="D165" s="151" t="str">
        <f>IFERROR(ROUND(AVERAGEIFS('📅 Daily Vitals Log'!$M$4:$M$113,'📅 Daily Vitals Log'!$B$4:$B$113,"&gt;"&amp;MAX('📅 Daily Vitals Log'!$B$4:$B$113)-7,'📅 Daily Vitals Log'!$B$4:$B$113,"&lt;="&amp;MAX('📅 Daily Vitals Log'!$B$4:$B$113),'📅 Daily Vitals Log'!$M$4:$M$113,"&gt;0"),0),"—")</f>
        <v>—</v>
      </c>
      <c r="E165" s="151"/>
      <c r="F165" s="151" t="str">
        <f>IFERROR(ROUND(AVERAGEIFS('📅 Daily Vitals Log'!$M$4:$M$113,'📅 Daily Vitals Log'!$B$4:$B$113,"&gt;"&amp;MAX('📅 Daily Vitals Log'!$B$4:$B$113)-30,'📅 Daily Vitals Log'!$B$4:$B$113,"&lt;="&amp;MAX('📅 Daily Vitals Log'!$B$4:$B$113),'📅 Daily Vitals Log'!$M$4:$M$113,"&gt;0"),0),"—")</f>
        <v>—</v>
      </c>
      <c r="G165" s="151"/>
      <c r="H165" s="152" t="str">
        <f>IFERROR(COUNTIFS('📅 Daily Vitals Log'!$B$4:$B$113,"&gt;"&amp;MAX('📅 Daily Vitals Log'!$B$4:$B$113)-30,'📅 Daily Vitals Log'!$B$4:$B$113,"&lt;="&amp;MAX('📅 Daily Vitals Log'!$B$4:$B$113),'📅 Daily Vitals Log'!$M$4:$M$113,"&gt;="&amp;'⚙ Dashboard Settings'!$I$5,'📅 Daily Vitals Log'!$M$4:$M$113,"&lt;="&amp;'⚙ Dashboard Settings'!$I$6)/COUNTIFS('📅 Daily Vitals Log'!$B$4:$B$113,"&gt;"&amp;MAX('📅 Daily Vitals Log'!$B$4:$B$113)-30,'📅 Daily Vitals Log'!$B$4:$B$113,"&lt;="&amp;MAX('📅 Daily Vitals Log'!$B$4:$B$113),'📅 Daily Vitals Log'!$M$4:$M$113,"&gt;0"),"—")</f>
        <v>—</v>
      </c>
      <c r="I165" s="152"/>
      <c r="J165" s="151">
        <f>COUNTIFS('📅 Daily Vitals Log'!$B$4:$B$113,"&gt;"&amp;MAX('📅 Daily Vitals Log'!$B$4:$B$113)-30,'📅 Daily Vitals Log'!$B$4:$B$113,"&lt;="&amp;MAX('📅 Daily Vitals Log'!$B$4:$B$113),'📅 Daily Vitals Log'!$M$4:$M$113,"&gt;"&amp;'⚙ Dashboard Settings'!$I$7)</f>
        <v>0</v>
      </c>
      <c r="K165" s="151"/>
      <c r="L165" s="151">
        <f>COUNTIFS('📅 Daily Vitals Log'!$B$4:$B$113,"&gt;"&amp;MAX('📅 Daily Vitals Log'!$B$4:$B$113)-30,'📅 Daily Vitals Log'!$B$4:$B$113,"&lt;="&amp;MAX('📅 Daily Vitals Log'!$B$4:$B$113),'📅 Daily Vitals Log'!$M$4:$M$113,"&lt;"&amp;'⚙ Dashboard Settings'!$I$5,'📅 Daily Vitals Log'!$M$4:$M$113,"&gt;0")</f>
        <v>0</v>
      </c>
      <c r="M165" s="151"/>
      <c r="N165" s="151">
        <f>COUNTIFS('📅 Daily Vitals Log'!$B$4:$B$113,"&gt;"&amp;MAX('📅 Daily Vitals Log'!$B$4:$B$113)-30,'📅 Daily Vitals Log'!$B$4:$B$113,"&lt;="&amp;MAX('📅 Daily Vitals Log'!$B$4:$B$113),'📅 Daily Vitals Log'!$M$4:$M$113,"&gt;0")</f>
        <v>0</v>
      </c>
      <c r="O165" s="151"/>
      <c r="P165" s="151" t="str">
        <f>IF('⚙ Dashboard Settings'!$M$17=0,"—",INDEX('🧪 Lab Results'!$G19:$Z19,'⚙ Dashboard Settings'!$M$17-6)&amp;" %")</f>
        <v>—</v>
      </c>
      <c r="Q165" s="151"/>
    </row>
    <row r="166" spans="2:17" ht="6" customHeight="1" x14ac:dyDescent="0.25"/>
    <row r="167" spans="2:17" ht="15" customHeight="1" x14ac:dyDescent="0.25"/>
    <row r="168" spans="2:17" ht="15" customHeight="1" x14ac:dyDescent="0.25"/>
    <row r="169" spans="2:17" ht="15" customHeight="1" x14ac:dyDescent="0.25"/>
    <row r="170" spans="2:17" ht="15" customHeight="1" x14ac:dyDescent="0.25"/>
    <row r="171" spans="2:17" ht="15" customHeight="1" x14ac:dyDescent="0.25"/>
    <row r="172" spans="2:17" ht="15" customHeight="1" x14ac:dyDescent="0.25"/>
    <row r="173" spans="2:17" ht="15" customHeight="1" x14ac:dyDescent="0.25"/>
    <row r="174" spans="2:17" ht="15" customHeight="1" x14ac:dyDescent="0.25"/>
    <row r="175" spans="2:17" ht="15" customHeight="1" x14ac:dyDescent="0.25"/>
    <row r="176" spans="2:17" ht="15" customHeight="1" x14ac:dyDescent="0.25"/>
    <row r="177" spans="2:17" ht="15" customHeight="1" x14ac:dyDescent="0.25"/>
    <row r="178" spans="2:17" ht="15" customHeight="1" x14ac:dyDescent="0.25"/>
    <row r="179" spans="2:17" ht="15" customHeight="1" x14ac:dyDescent="0.25"/>
    <row r="180" spans="2:17" ht="15" customHeight="1" x14ac:dyDescent="0.25"/>
    <row r="181" spans="2:17" ht="15" customHeight="1" x14ac:dyDescent="0.25"/>
    <row r="182" spans="2:17" ht="15" customHeight="1" x14ac:dyDescent="0.25"/>
    <row r="183" spans="2:17" ht="15" customHeight="1" x14ac:dyDescent="0.25"/>
    <row r="184" spans="2:17" ht="15" customHeight="1" x14ac:dyDescent="0.25">
      <c r="B184" s="62" t="s">
        <v>275</v>
      </c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</row>
  </sheetData>
  <mergeCells count="135">
    <mergeCell ref="B87:Q87"/>
    <mergeCell ref="B89:Q89"/>
    <mergeCell ref="B162:Q162"/>
    <mergeCell ref="B163:Q163"/>
    <mergeCell ref="B164:C164"/>
    <mergeCell ref="B165:C165"/>
    <mergeCell ref="D164:E164"/>
    <mergeCell ref="D165:E165"/>
    <mergeCell ref="F164:G164"/>
    <mergeCell ref="F165:G165"/>
    <mergeCell ref="H164:I164"/>
    <mergeCell ref="H165:I165"/>
    <mergeCell ref="J164:K164"/>
    <mergeCell ref="J165:K165"/>
    <mergeCell ref="L164:M164"/>
    <mergeCell ref="L165:M165"/>
    <mergeCell ref="N164:O164"/>
    <mergeCell ref="N165:O165"/>
    <mergeCell ref="P164:Q164"/>
    <mergeCell ref="P165:Q165"/>
    <mergeCell ref="B85:D85"/>
    <mergeCell ref="F85:H85"/>
    <mergeCell ref="J85:K85"/>
    <mergeCell ref="L85:N85"/>
    <mergeCell ref="P85:Q85"/>
    <mergeCell ref="B86:D86"/>
    <mergeCell ref="F86:H86"/>
    <mergeCell ref="J86:K86"/>
    <mergeCell ref="L86:N86"/>
    <mergeCell ref="P86:Q86"/>
    <mergeCell ref="B83:D83"/>
    <mergeCell ref="F83:H83"/>
    <mergeCell ref="J83:K83"/>
    <mergeCell ref="L83:N83"/>
    <mergeCell ref="P83:Q83"/>
    <mergeCell ref="B84:D84"/>
    <mergeCell ref="F84:H84"/>
    <mergeCell ref="J84:K84"/>
    <mergeCell ref="L84:N84"/>
    <mergeCell ref="P84:Q84"/>
    <mergeCell ref="B80:D80"/>
    <mergeCell ref="K80:L80"/>
    <mergeCell ref="M80:N80"/>
    <mergeCell ref="B81:D81"/>
    <mergeCell ref="F81:H81"/>
    <mergeCell ref="J81:K81"/>
    <mergeCell ref="L81:N81"/>
    <mergeCell ref="P81:Q81"/>
    <mergeCell ref="B82:D82"/>
    <mergeCell ref="F82:H82"/>
    <mergeCell ref="J82:K82"/>
    <mergeCell ref="L82:N82"/>
    <mergeCell ref="P82:Q82"/>
    <mergeCell ref="B77:D77"/>
    <mergeCell ref="K77:L77"/>
    <mergeCell ref="M77:N77"/>
    <mergeCell ref="B78:D78"/>
    <mergeCell ref="K78:L78"/>
    <mergeCell ref="M78:N78"/>
    <mergeCell ref="B79:D79"/>
    <mergeCell ref="K79:L79"/>
    <mergeCell ref="M79:N79"/>
    <mergeCell ref="B74:D74"/>
    <mergeCell ref="K74:L74"/>
    <mergeCell ref="M74:N74"/>
    <mergeCell ref="B75:D75"/>
    <mergeCell ref="K75:L75"/>
    <mergeCell ref="M75:N75"/>
    <mergeCell ref="B76:D76"/>
    <mergeCell ref="K76:L76"/>
    <mergeCell ref="M76:N76"/>
    <mergeCell ref="B71:D71"/>
    <mergeCell ref="K71:L71"/>
    <mergeCell ref="M71:N71"/>
    <mergeCell ref="B72:D72"/>
    <mergeCell ref="K72:L72"/>
    <mergeCell ref="M72:N72"/>
    <mergeCell ref="B73:D73"/>
    <mergeCell ref="K73:L73"/>
    <mergeCell ref="M73:N73"/>
    <mergeCell ref="B68:D68"/>
    <mergeCell ref="K68:L68"/>
    <mergeCell ref="M68:N68"/>
    <mergeCell ref="B69:D69"/>
    <mergeCell ref="K69:L69"/>
    <mergeCell ref="M69:N69"/>
    <mergeCell ref="B70:D70"/>
    <mergeCell ref="K70:L70"/>
    <mergeCell ref="M70:N70"/>
    <mergeCell ref="B65:D65"/>
    <mergeCell ref="K65:L65"/>
    <mergeCell ref="M65:N65"/>
    <mergeCell ref="B66:D66"/>
    <mergeCell ref="K66:L66"/>
    <mergeCell ref="M66:N66"/>
    <mergeCell ref="B67:D67"/>
    <mergeCell ref="K67:L67"/>
    <mergeCell ref="M67:N67"/>
    <mergeCell ref="B62:D62"/>
    <mergeCell ref="K62:L62"/>
    <mergeCell ref="M62:N62"/>
    <mergeCell ref="B63:D63"/>
    <mergeCell ref="K63:L63"/>
    <mergeCell ref="M63:N63"/>
    <mergeCell ref="B64:D64"/>
    <mergeCell ref="K64:L64"/>
    <mergeCell ref="M64:N64"/>
    <mergeCell ref="B59:D59"/>
    <mergeCell ref="K59:L59"/>
    <mergeCell ref="M59:N59"/>
    <mergeCell ref="B60:D60"/>
    <mergeCell ref="K60:L60"/>
    <mergeCell ref="M60:N60"/>
    <mergeCell ref="B61:D61"/>
    <mergeCell ref="K61:L61"/>
    <mergeCell ref="M61:N61"/>
    <mergeCell ref="C10:Q10"/>
    <mergeCell ref="B12:Q12"/>
    <mergeCell ref="B55:Q55"/>
    <mergeCell ref="B56:Q56"/>
    <mergeCell ref="B57:D57"/>
    <mergeCell ref="K57:L57"/>
    <mergeCell ref="M57:N57"/>
    <mergeCell ref="B58:D58"/>
    <mergeCell ref="K58:L58"/>
    <mergeCell ref="M58:N58"/>
    <mergeCell ref="B3:Q3"/>
    <mergeCell ref="C7:Q7"/>
    <mergeCell ref="C6:Q6"/>
    <mergeCell ref="B1:Q1"/>
    <mergeCell ref="C5:Q5"/>
    <mergeCell ref="C8:Q8"/>
    <mergeCell ref="C9:Q9"/>
    <mergeCell ref="C4:Q4"/>
    <mergeCell ref="B2:Q2"/>
  </mergeCells>
  <conditionalFormatting sqref="O58:O80">
    <cfRule type="cellIs" dxfId="9" priority="1" operator="equal">
      <formula>"▲ HIGH"</formula>
    </cfRule>
    <cfRule type="cellIs" dxfId="8" priority="2" operator="equal">
      <formula>"▼ LOW"</formula>
    </cfRule>
    <cfRule type="cellIs" dxfId="7" priority="3" operator="equal">
      <formula>"✔ In range"</formula>
    </cfRule>
  </conditionalFormatting>
  <pageMargins left="0.5" right="0.5" top="0.5" bottom="0.5" header="0.511811023622047" footer="0.511811023622047"/>
  <pageSetup paperSize="9" fitToHeight="0" orientation="portrait"/>
  <rowBreaks count="1" manualBreakCount="1">
    <brk id="88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032A-6511-45F7-AAAF-B26F4D59ECE3}">
  <sheetPr>
    <tabColor rgb="FFE63946"/>
    <pageSetUpPr fitToPage="1"/>
  </sheetPr>
  <dimension ref="B1:G72"/>
  <sheetViews>
    <sheetView showGridLines="0" topLeftCell="A65" zoomScale="130" zoomScaleNormal="130" workbookViewId="0">
      <selection activeCell="G80" sqref="G80"/>
    </sheetView>
  </sheetViews>
  <sheetFormatPr defaultColWidth="8.7109375" defaultRowHeight="15" x14ac:dyDescent="0.25"/>
  <cols>
    <col min="1" max="1" width="3" customWidth="1"/>
    <col min="2" max="2" width="21.28515625" customWidth="1"/>
    <col min="3" max="3" width="20" customWidth="1"/>
    <col min="4" max="4" width="22.42578125" customWidth="1"/>
    <col min="5" max="5" width="18.140625" customWidth="1"/>
    <col min="6" max="6" width="23.5703125" customWidth="1"/>
    <col min="7" max="7" width="29.5703125" customWidth="1"/>
  </cols>
  <sheetData>
    <row r="1" spans="2:7" ht="36" customHeight="1" x14ac:dyDescent="0.25">
      <c r="B1" s="139" t="s">
        <v>276</v>
      </c>
      <c r="C1" s="121"/>
      <c r="D1" s="121"/>
      <c r="E1" s="121"/>
      <c r="F1" s="121"/>
      <c r="G1" s="121"/>
    </row>
    <row r="2" spans="2:7" ht="15.75" customHeight="1" x14ac:dyDescent="0.25">
      <c r="B2" s="166" t="s">
        <v>277</v>
      </c>
      <c r="C2" s="121"/>
      <c r="D2" s="121"/>
      <c r="E2" s="121"/>
      <c r="F2" s="121"/>
      <c r="G2" s="121"/>
    </row>
    <row r="3" spans="2:7" ht="19.5" customHeight="1" x14ac:dyDescent="0.25">
      <c r="B3" s="164" t="str">
        <f>IF(COUNTA('👤 Patient Info'!C4:C6,'👤 Patient Info'!F4)=0,"",'👤 Patient Info'!C4&amp;"  |  "&amp;'👤 Patient Info'!C5&amp;"  |  Reg: "&amp;'👤 Patient Info'!C6&amp;"  |  Phone: "&amp;'👤 Patient Info'!F4)</f>
        <v/>
      </c>
      <c r="C3" s="121"/>
      <c r="D3" s="121"/>
      <c r="E3" s="121"/>
      <c r="F3" s="121"/>
      <c r="G3" s="121"/>
    </row>
    <row r="4" spans="2:7" ht="19.5" customHeight="1" x14ac:dyDescent="0.25">
      <c r="B4" s="163" t="s">
        <v>278</v>
      </c>
      <c r="C4" s="121"/>
      <c r="D4" s="121"/>
      <c r="E4" s="121"/>
      <c r="F4" s="121"/>
      <c r="G4" s="121"/>
    </row>
    <row r="5" spans="2:7" ht="18" customHeight="1" x14ac:dyDescent="0.25">
      <c r="B5" s="14" t="s">
        <v>279</v>
      </c>
      <c r="C5" s="143" t="str">
        <f>IF('👤 Patient Info'!C8="","",'👤 Patient Info'!C8)</f>
        <v/>
      </c>
      <c r="D5" s="124"/>
      <c r="E5" s="124"/>
      <c r="F5" s="124"/>
      <c r="G5" s="124"/>
    </row>
    <row r="6" spans="2:7" ht="18" customHeight="1" x14ac:dyDescent="0.25">
      <c r="B6" s="14" t="s">
        <v>280</v>
      </c>
      <c r="C6" s="143" t="str">
        <f>IF('👤 Patient Info'!F8="","",'👤 Patient Info'!F8)</f>
        <v/>
      </c>
      <c r="D6" s="124"/>
      <c r="E6" s="124"/>
      <c r="F6" s="124"/>
      <c r="G6" s="124"/>
    </row>
    <row r="7" spans="2:7" ht="18" customHeight="1" x14ac:dyDescent="0.25">
      <c r="B7" s="14" t="s">
        <v>281</v>
      </c>
      <c r="C7" s="165" t="str">
        <f>IF('👤 Patient Info'!C9="","",'👤 Patient Info'!C9)</f>
        <v/>
      </c>
      <c r="D7" s="124"/>
      <c r="E7" s="124"/>
      <c r="F7" s="124"/>
      <c r="G7" s="124"/>
    </row>
    <row r="8" spans="2:7" ht="18" customHeight="1" x14ac:dyDescent="0.25">
      <c r="B8" s="14" t="s">
        <v>282</v>
      </c>
      <c r="C8" s="143" t="str">
        <f>IF('👤 Patient Info'!C11="","",'👤 Patient Info'!C11)</f>
        <v/>
      </c>
      <c r="D8" s="124"/>
      <c r="E8" s="124"/>
      <c r="F8" s="124"/>
      <c r="G8" s="124"/>
    </row>
    <row r="9" spans="2:7" ht="18" customHeight="1" x14ac:dyDescent="0.25">
      <c r="B9" s="14" t="s">
        <v>283</v>
      </c>
      <c r="C9" s="143" t="str">
        <f>IF('👤 Patient Info'!C12="","",'👤 Patient Info'!C12)</f>
        <v/>
      </c>
      <c r="D9" s="124"/>
      <c r="E9" s="124"/>
      <c r="F9" s="124"/>
      <c r="G9" s="124"/>
    </row>
    <row r="10" spans="2:7" ht="18" customHeight="1" x14ac:dyDescent="0.25">
      <c r="B10" s="14" t="s">
        <v>284</v>
      </c>
      <c r="C10" s="165" t="str">
        <f>IF('👤 Patient Info'!F11="","",'👤 Patient Info'!F11)</f>
        <v/>
      </c>
      <c r="D10" s="124"/>
      <c r="E10" s="124"/>
      <c r="F10" s="124"/>
      <c r="G10" s="124"/>
    </row>
    <row r="11" spans="2:7" ht="18" customHeight="1" x14ac:dyDescent="0.25">
      <c r="B11" s="14" t="s">
        <v>285</v>
      </c>
      <c r="C11" s="143" t="str">
        <f>IF('👤 Patient Info'!F10="","",'👤 Patient Info'!F10)</f>
        <v/>
      </c>
      <c r="D11" s="124"/>
      <c r="E11" s="124"/>
      <c r="F11" s="124"/>
      <c r="G11" s="124"/>
    </row>
    <row r="12" spans="2:7" ht="18" customHeight="1" x14ac:dyDescent="0.25">
      <c r="B12" s="14" t="s">
        <v>286</v>
      </c>
      <c r="C12" s="143" t="str">
        <f>IF('👤 Patient Info'!C18="","",'👤 Patient Info'!C18)</f>
        <v/>
      </c>
      <c r="D12" s="124"/>
      <c r="E12" s="124"/>
      <c r="F12" s="124"/>
      <c r="G12" s="124"/>
    </row>
    <row r="13" spans="2:7" ht="19.5" customHeight="1" x14ac:dyDescent="0.25">
      <c r="B13" s="163" t="s">
        <v>287</v>
      </c>
      <c r="C13" s="121"/>
      <c r="D13" s="121"/>
      <c r="E13" s="121"/>
      <c r="F13" s="121"/>
      <c r="G13" s="121"/>
    </row>
    <row r="14" spans="2:7" ht="19.5" customHeight="1" x14ac:dyDescent="0.25">
      <c r="B14" s="15" t="s">
        <v>256</v>
      </c>
      <c r="C14" s="15" t="s">
        <v>288</v>
      </c>
      <c r="D14" s="15" t="s">
        <v>289</v>
      </c>
      <c r="E14" s="15" t="s">
        <v>290</v>
      </c>
      <c r="F14" s="15" t="s">
        <v>111</v>
      </c>
      <c r="G14" s="15" t="s">
        <v>291</v>
      </c>
    </row>
    <row r="15" spans="2:7" ht="18" customHeight="1" x14ac:dyDescent="0.25">
      <c r="B15" s="7" t="s">
        <v>292</v>
      </c>
      <c r="C15" s="16" t="str">
        <f t="array" aca="1" ref="C15" ca="1">IF(COUNTIFS('📅 Daily Vitals Log'!B:B,"&gt;="&amp;(TODAY()-7),'📅 Daily Vitals Log'!C:C,"&lt;&gt;")=0,"—",MIN(IF(('📅 Daily Vitals Log'!$B$4:$B$500&gt;=TODAY()-7)*('📅 Daily Vitals Log'!$C$4:$C$500&lt;&gt;""),'📅 Daily Vitals Log'!$C$4:$C$500)))</f>
        <v>—</v>
      </c>
      <c r="D15" s="16" t="str">
        <f t="array" aca="1" ref="D15" ca="1">IF(COUNTIFS('📅 Daily Vitals Log'!B:B,"&gt;="&amp;(TODAY()-7),'📅 Daily Vitals Log'!C:C,"&lt;&gt;")=0,"—",MAX(IF(('📅 Daily Vitals Log'!$B$4:$B$500&gt;=TODAY()-7)*('📅 Daily Vitals Log'!$C$4:$C$500&lt;&gt;""),'📅 Daily Vitals Log'!$C$4:$C$500)))</f>
        <v>—</v>
      </c>
      <c r="E15" s="16" t="str">
        <f ca="1">IFERROR(ROUND(AVERAGEIFS('📅 Daily Vitals Log'!C:C,'📅 Daily Vitals Log'!B:B,"&gt;="&amp;(TODAY()-7)),1),"—")</f>
        <v>—</v>
      </c>
      <c r="F15" s="3" t="s">
        <v>293</v>
      </c>
      <c r="G15" s="8" t="s">
        <v>294</v>
      </c>
    </row>
    <row r="16" spans="2:7" ht="18" customHeight="1" x14ac:dyDescent="0.25">
      <c r="B16" s="7" t="s">
        <v>295</v>
      </c>
      <c r="C16" s="16" t="str">
        <f t="array" aca="1" ref="C16" ca="1">IF(COUNTIFS('📅 Daily Vitals Log'!B:B,"&gt;="&amp;(TODAY()-7),'📅 Daily Vitals Log'!D:D,"&lt;&gt;")=0,"—",MIN(IF(('📅 Daily Vitals Log'!$B$4:$B$500&gt;=TODAY()-7)*('📅 Daily Vitals Log'!$D$4:$D$500&lt;&gt;""),'📅 Daily Vitals Log'!$D$4:$D$500)))</f>
        <v>—</v>
      </c>
      <c r="D16" s="16" t="str">
        <f t="array" aca="1" ref="D16" ca="1">IF(COUNTIFS('📅 Daily Vitals Log'!B:B,"&gt;="&amp;(TODAY()-7),'📅 Daily Vitals Log'!D:D,"&lt;&gt;")=0,"—",MAX(IF(('📅 Daily Vitals Log'!$B$4:$B$500&gt;=TODAY()-7)*('📅 Daily Vitals Log'!$D$4:$D$500&lt;&gt;""),'📅 Daily Vitals Log'!$D$4:$D$500)))</f>
        <v>—</v>
      </c>
      <c r="E16" s="16" t="str">
        <f ca="1">IFERROR(ROUND(AVERAGEIFS('📅 Daily Vitals Log'!D:D,'📅 Daily Vitals Log'!B:B,"&gt;="&amp;(TODAY()-7)),1),"—")</f>
        <v>—</v>
      </c>
      <c r="F16" s="3" t="s">
        <v>293</v>
      </c>
      <c r="G16" s="8" t="s">
        <v>296</v>
      </c>
    </row>
    <row r="17" spans="2:7" ht="18" customHeight="1" x14ac:dyDescent="0.25">
      <c r="B17" s="7" t="s">
        <v>297</v>
      </c>
      <c r="C17" s="16" t="str">
        <f t="array" aca="1" ref="C17" ca="1">IF(COUNTIFS('📅 Daily Vitals Log'!B:B,"&gt;="&amp;(TODAY()-7),'📅 Daily Vitals Log'!E:E,"&lt;&gt;")=0,"—",MIN(IF(('📅 Daily Vitals Log'!$B$4:$B$500&gt;=TODAY()-7)*('📅 Daily Vitals Log'!$E$4:$E$500&lt;&gt;""),'📅 Daily Vitals Log'!$E$4:$E$500)))</f>
        <v>—</v>
      </c>
      <c r="D17" s="16" t="str">
        <f t="array" aca="1" ref="D17" ca="1">IF(COUNTIFS('📅 Daily Vitals Log'!B:B,"&gt;="&amp;(TODAY()-7),'📅 Daily Vitals Log'!E:E,"&lt;&gt;")=0,"—",MAX(IF(('📅 Daily Vitals Log'!$B$4:$B$500&gt;=TODAY()-7)*('📅 Daily Vitals Log'!$E$4:$E$500&lt;&gt;""),'📅 Daily Vitals Log'!$E$4:$E$500)))</f>
        <v>—</v>
      </c>
      <c r="E17" s="16" t="str">
        <f ca="1">IFERROR(ROUND(AVERAGEIFS('📅 Daily Vitals Log'!E:E,'📅 Daily Vitals Log'!B:B,"&gt;="&amp;(TODAY()-7)),1),"—")</f>
        <v>—</v>
      </c>
      <c r="F17" s="3" t="s">
        <v>298</v>
      </c>
      <c r="G17" s="8" t="s">
        <v>299</v>
      </c>
    </row>
    <row r="18" spans="2:7" ht="18" customHeight="1" x14ac:dyDescent="0.25">
      <c r="B18" s="7" t="s">
        <v>300</v>
      </c>
      <c r="C18" s="16" t="str">
        <f t="array" aca="1" ref="C18" ca="1">IF(COUNTIFS('📅 Daily Vitals Log'!B:B,"&gt;="&amp;(TODAY()-7),'📅 Daily Vitals Log'!F:F,"&lt;&gt;")=0,"—",MIN(IF(('📅 Daily Vitals Log'!$B$4:$B$500&gt;=TODAY()-7)*('📅 Daily Vitals Log'!$F$4:$F$500&lt;&gt;""),'📅 Daily Vitals Log'!$F$4:$F$500)))</f>
        <v>—</v>
      </c>
      <c r="D18" s="16" t="str">
        <f t="array" aca="1" ref="D18" ca="1">IF(COUNTIFS('📅 Daily Vitals Log'!B:B,"&gt;="&amp;(TODAY()-7),'📅 Daily Vitals Log'!F:F,"&lt;&gt;")=0,"—",MAX(IF(('📅 Daily Vitals Log'!$B$4:$B$500&gt;=TODAY()-7)*('📅 Daily Vitals Log'!$F$4:$F$500&lt;&gt;""),'📅 Daily Vitals Log'!$F$4:$F$500)))</f>
        <v>—</v>
      </c>
      <c r="E18" s="16" t="str">
        <f ca="1">IFERROR(ROUND(AVERAGEIFS('📅 Daily Vitals Log'!F:F,'📅 Daily Vitals Log'!B:B,"&gt;="&amp;(TODAY()-7)),1),"—")</f>
        <v>—</v>
      </c>
      <c r="F18" s="3" t="s">
        <v>174</v>
      </c>
      <c r="G18" s="8" t="s">
        <v>301</v>
      </c>
    </row>
    <row r="19" spans="2:7" ht="18" customHeight="1" x14ac:dyDescent="0.25">
      <c r="B19" s="7" t="s">
        <v>302</v>
      </c>
      <c r="C19" s="16" t="str">
        <f t="array" aca="1" ref="C19" ca="1">IF(COUNTIFS('📅 Daily Vitals Log'!B:B,"&gt;="&amp;(TODAY()-7),'📅 Daily Vitals Log'!H:H,"&lt;&gt;")=0,"—",MIN(IF(('📅 Daily Vitals Log'!$B$4:$B$500&gt;=TODAY()-7)*('📅 Daily Vitals Log'!$H$4:$H$500&lt;&gt;""),'📅 Daily Vitals Log'!$H$4:$H$500)))</f>
        <v>—</v>
      </c>
      <c r="D19" s="16" t="str">
        <f t="array" aca="1" ref="D19" ca="1">IF(COUNTIFS('📅 Daily Vitals Log'!B:B,"&gt;="&amp;(TODAY()-7),'📅 Daily Vitals Log'!H:H,"&lt;&gt;")=0,"—",MAX(IF(('📅 Daily Vitals Log'!$B$4:$B$500&gt;=TODAY()-7)*('📅 Daily Vitals Log'!$H$4:$H$500&lt;&gt;""),'📅 Daily Vitals Log'!$H$4:$H$500)))</f>
        <v>—</v>
      </c>
      <c r="E19" s="16" t="str">
        <f ca="1">IFERROR(ROUND(AVERAGEIFS('📅 Daily Vitals Log'!H:H,'📅 Daily Vitals Log'!B:B,"&gt;="&amp;(TODAY()-7)),2),"—")</f>
        <v>—</v>
      </c>
      <c r="F19" s="3" t="s">
        <v>303</v>
      </c>
      <c r="G19" s="8" t="s">
        <v>304</v>
      </c>
    </row>
    <row r="20" spans="2:7" ht="18" customHeight="1" x14ac:dyDescent="0.25">
      <c r="B20" s="7" t="s">
        <v>305</v>
      </c>
      <c r="C20" s="16" t="str">
        <f t="array" aca="1" ref="C20" ca="1">IF(COUNTIFS('📅 Daily Vitals Log'!B:B,"&gt;="&amp;(TODAY()-7),'📅 Daily Vitals Log'!I:I,"&lt;&gt;")=0,"—",MIN(IF(('📅 Daily Vitals Log'!$B$4:$B$500&gt;=TODAY()-7)*('📅 Daily Vitals Log'!$I$4:$I$500&lt;&gt;""),'📅 Daily Vitals Log'!$I$4:$I$500)))</f>
        <v>—</v>
      </c>
      <c r="D20" s="16" t="str">
        <f t="array" aca="1" ref="D20" ca="1">IF(COUNTIFS('📅 Daily Vitals Log'!B:B,"&gt;="&amp;(TODAY()-7),'📅 Daily Vitals Log'!I:I,"&lt;&gt;")=0,"—",MAX(IF(('📅 Daily Vitals Log'!$B$4:$B$500&gt;=TODAY()-7)*('📅 Daily Vitals Log'!$I$4:$I$500&lt;&gt;""),'📅 Daily Vitals Log'!$I$4:$I$500)))</f>
        <v>—</v>
      </c>
      <c r="E20" s="16" t="str">
        <f ca="1">IFERROR(ROUND(AVERAGEIFS('📅 Daily Vitals Log'!I:I,'📅 Daily Vitals Log'!B:B,"&gt;="&amp;(TODAY()-7)),0),"—")</f>
        <v>—</v>
      </c>
      <c r="F20" s="3" t="s">
        <v>306</v>
      </c>
      <c r="G20" s="8" t="s">
        <v>307</v>
      </c>
    </row>
    <row r="21" spans="2:7" ht="18" customHeight="1" x14ac:dyDescent="0.25">
      <c r="B21" s="7" t="s">
        <v>308</v>
      </c>
      <c r="C21" s="16" t="str">
        <f t="array" aca="1" ref="C21" ca="1">IF(COUNTIFS('📅 Daily Vitals Log'!B:B,"&gt;="&amp;(TODAY()-7),'📅 Daily Vitals Log'!J:J,"&lt;&gt;")=0,"—",MIN(IF(('📅 Daily Vitals Log'!$B$4:$B$500&gt;=TODAY()-7)*('📅 Daily Vitals Log'!$J$4:$J$500&lt;&gt;""),'📅 Daily Vitals Log'!$J$4:$J$500)))</f>
        <v>—</v>
      </c>
      <c r="D21" s="16" t="str">
        <f t="array" aca="1" ref="D21" ca="1">IF(COUNTIFS('📅 Daily Vitals Log'!B:B,"&gt;="&amp;(TODAY()-7),'📅 Daily Vitals Log'!J:J,"&lt;&gt;")=0,"—",MAX(IF(('📅 Daily Vitals Log'!$B$4:$B$500&gt;=TODAY()-7)*('📅 Daily Vitals Log'!$J$4:$J$500&lt;&gt;""),'📅 Daily Vitals Log'!$J$4:$J$500)))</f>
        <v>—</v>
      </c>
      <c r="E21" s="16" t="str">
        <f ca="1">IFERROR(ROUND(AVERAGEIFS('📅 Daily Vitals Log'!J:J,'📅 Daily Vitals Log'!B:B,"&gt;="&amp;(TODAY()-7)),0),"—")</f>
        <v>—</v>
      </c>
      <c r="F21" s="3" t="s">
        <v>306</v>
      </c>
      <c r="G21" s="8" t="s">
        <v>309</v>
      </c>
    </row>
    <row r="22" spans="2:7" ht="18" customHeight="1" x14ac:dyDescent="0.25">
      <c r="B22" s="7" t="s">
        <v>310</v>
      </c>
      <c r="C22" s="16" t="str">
        <f t="array" aca="1" ref="C22" ca="1">IF(COUNTIFS('📅 Daily Vitals Log'!B:B,"&gt;="&amp;(TODAY()-7),'📅 Daily Vitals Log'!M:M,"&gt;0")=0,"—",MIN(IF(('📅 Daily Vitals Log'!$B$4:$B$500&gt;=TODAY()-7)*('📅 Daily Vitals Log'!$M$4:$M$500&gt;0),'📅 Daily Vitals Log'!$M$4:$M$500)))</f>
        <v>—</v>
      </c>
      <c r="D22" s="16" t="str">
        <f t="array" aca="1" ref="D22" ca="1">IF(COUNTIFS('📅 Daily Vitals Log'!B:B,"&gt;="&amp;(TODAY()-7),'📅 Daily Vitals Log'!M:M,"&gt;0")=0,"—",MAX(IF(('📅 Daily Vitals Log'!$B$4:$B$500&gt;=TODAY()-7)*('📅 Daily Vitals Log'!$M$4:$M$500&gt;0),'📅 Daily Vitals Log'!$M$4:$M$500)))</f>
        <v>—</v>
      </c>
      <c r="E22" s="16" t="str">
        <f ca="1">IFERROR(ROUND(AVERAGEIFS('📅 Daily Vitals Log'!M:M,'📅 Daily Vitals Log'!B:B,"&gt;="&amp;(TODAY()-7),'📅 Daily Vitals Log'!M:M,"&gt;0"),0),"—")</f>
        <v>—</v>
      </c>
      <c r="F22" s="3" t="s">
        <v>138</v>
      </c>
      <c r="G22" s="8" t="str">
        <f>"&gt;"&amp;'⚙ Dashboard Settings'!$I$7&amp;" mg/dL = alert (limit set in Dashboard Settings)"</f>
        <v>&gt;180 mg/dL = alert (limit set in Dashboard Settings)</v>
      </c>
    </row>
    <row r="23" spans="2:7" ht="19.5" customHeight="1" x14ac:dyDescent="0.25">
      <c r="B23" s="163" t="s">
        <v>311</v>
      </c>
      <c r="C23" s="121"/>
      <c r="D23" s="121"/>
      <c r="E23" s="121"/>
      <c r="F23" s="121"/>
      <c r="G23" s="121"/>
    </row>
    <row r="24" spans="2:7" ht="19.5" customHeight="1" x14ac:dyDescent="0.25">
      <c r="B24" s="15" t="s">
        <v>312</v>
      </c>
      <c r="C24" s="15" t="s">
        <v>313</v>
      </c>
      <c r="D24" s="15" t="s">
        <v>111</v>
      </c>
      <c r="E24" s="15" t="s">
        <v>314</v>
      </c>
      <c r="F24" s="15" t="s">
        <v>315</v>
      </c>
    </row>
    <row r="25" spans="2:7" ht="15.75" customHeight="1" x14ac:dyDescent="0.25">
      <c r="B25" s="7" t="s">
        <v>316</v>
      </c>
      <c r="C25" s="3" t="str">
        <f>IFERROR(LOOKUP(2,1/('🧪 Lab Results'!G6:Z6&lt;&gt;""),'🧪 Lab Results'!G6:Z6),"—")</f>
        <v>—</v>
      </c>
      <c r="D25" s="3" t="s">
        <v>138</v>
      </c>
      <c r="E25" s="3" t="s">
        <v>140</v>
      </c>
      <c r="F25" s="3" t="s">
        <v>317</v>
      </c>
    </row>
    <row r="26" spans="2:7" ht="15.75" customHeight="1" x14ac:dyDescent="0.25">
      <c r="B26" s="7" t="s">
        <v>142</v>
      </c>
      <c r="C26" s="3" t="str">
        <f>IFERROR(LOOKUP(2,1/('🧪 Lab Results'!G7:Z7&lt;&gt;""),'🧪 Lab Results'!G7:Z7),"—")</f>
        <v>—</v>
      </c>
      <c r="D26" s="3" t="s">
        <v>143</v>
      </c>
      <c r="E26" s="3" t="s">
        <v>318</v>
      </c>
      <c r="F26" s="3"/>
    </row>
    <row r="27" spans="2:7" ht="15.75" customHeight="1" x14ac:dyDescent="0.25">
      <c r="B27" s="7" t="s">
        <v>146</v>
      </c>
      <c r="C27" s="3" t="str">
        <f>IFERROR(LOOKUP(2,1/('🧪 Lab Results'!G8:Z8&lt;&gt;""),'🧪 Lab Results'!G8:Z8),"—")</f>
        <v>—</v>
      </c>
      <c r="D27" s="3" t="s">
        <v>147</v>
      </c>
      <c r="E27" s="3" t="s">
        <v>319</v>
      </c>
      <c r="F27" s="3"/>
    </row>
    <row r="28" spans="2:7" ht="15.75" customHeight="1" x14ac:dyDescent="0.25">
      <c r="B28" s="7" t="s">
        <v>320</v>
      </c>
      <c r="C28" s="3" t="str">
        <f>IFERROR(LOOKUP(2,1/('🧪 Lab Results'!G10:Z10&lt;&gt;""),'🧪 Lab Results'!G10:Z10),"—")</f>
        <v>—</v>
      </c>
      <c r="D28" s="3" t="s">
        <v>138</v>
      </c>
      <c r="E28" s="3" t="s">
        <v>321</v>
      </c>
      <c r="F28" s="3"/>
    </row>
    <row r="29" spans="2:7" ht="15.75" customHeight="1" x14ac:dyDescent="0.25">
      <c r="B29" s="7" t="s">
        <v>154</v>
      </c>
      <c r="C29" s="3" t="str">
        <f>IFERROR(LOOKUP(2,1/('🧪 Lab Results'!G11:Z11&lt;&gt;""),'🧪 Lab Results'!G11:Z11),"—")</f>
        <v>—</v>
      </c>
      <c r="D29" s="3" t="s">
        <v>138</v>
      </c>
      <c r="E29" s="3" t="s">
        <v>322</v>
      </c>
      <c r="F29" s="3"/>
    </row>
    <row r="30" spans="2:7" ht="15.75" customHeight="1" x14ac:dyDescent="0.25">
      <c r="B30" s="7" t="s">
        <v>156</v>
      </c>
      <c r="C30" s="3" t="str">
        <f>IFERROR(LOOKUP(2,1/('🧪 Lab Results'!G12:Z12&lt;&gt;""),'🧪 Lab Results'!G12:Z12),"—")</f>
        <v>—</v>
      </c>
      <c r="D30" s="3" t="s">
        <v>138</v>
      </c>
      <c r="E30" s="3" t="s">
        <v>323</v>
      </c>
      <c r="F30" s="3"/>
    </row>
    <row r="31" spans="2:7" ht="15.75" customHeight="1" x14ac:dyDescent="0.25">
      <c r="B31" s="7" t="s">
        <v>159</v>
      </c>
      <c r="C31" s="3" t="str">
        <f>IFERROR(LOOKUP(2,1/('🧪 Lab Results'!G13:Z13&lt;&gt;""),'🧪 Lab Results'!G13:Z13),"—")</f>
        <v>—</v>
      </c>
      <c r="D31" s="3" t="s">
        <v>160</v>
      </c>
      <c r="E31" s="3" t="s">
        <v>324</v>
      </c>
      <c r="F31" s="3"/>
    </row>
    <row r="32" spans="2:7" ht="15.75" customHeight="1" x14ac:dyDescent="0.25">
      <c r="B32" s="7" t="s">
        <v>325</v>
      </c>
      <c r="C32" s="3" t="str">
        <f>IFERROR(LOOKUP(2,1/('🧪 Lab Results'!G17:Z17&lt;&gt;""),'🧪 Lab Results'!G17:Z17),"—")</f>
        <v>—</v>
      </c>
      <c r="D32" s="3" t="s">
        <v>138</v>
      </c>
      <c r="E32" s="3" t="s">
        <v>326</v>
      </c>
      <c r="F32" s="3" t="s">
        <v>327</v>
      </c>
    </row>
    <row r="33" spans="2:7" ht="15.75" customHeight="1" x14ac:dyDescent="0.25">
      <c r="B33" s="7" t="s">
        <v>328</v>
      </c>
      <c r="C33" s="3" t="str">
        <f>IFERROR(LOOKUP(2,1/('🧪 Lab Results'!G18:Z18&lt;&gt;""),'🧪 Lab Results'!G18:Z18),"—")</f>
        <v>—</v>
      </c>
      <c r="D33" s="3" t="s">
        <v>138</v>
      </c>
      <c r="E33" s="3" t="s">
        <v>329</v>
      </c>
      <c r="F33" s="3"/>
    </row>
    <row r="34" spans="2:7" ht="15.75" customHeight="1" x14ac:dyDescent="0.25">
      <c r="B34" s="7" t="s">
        <v>173</v>
      </c>
      <c r="C34" s="3" t="str">
        <f>IFERROR(LOOKUP(2,1/('🧪 Lab Results'!G19:Z19&lt;&gt;""),'🧪 Lab Results'!G19:Z19),"—")</f>
        <v>—</v>
      </c>
      <c r="D34" s="3" t="s">
        <v>174</v>
      </c>
      <c r="E34" s="3" t="s">
        <v>330</v>
      </c>
      <c r="F34" s="3"/>
    </row>
    <row r="35" spans="2:7" ht="15.75" customHeight="1" x14ac:dyDescent="0.25">
      <c r="B35" s="7" t="s">
        <v>179</v>
      </c>
      <c r="C35" s="3" t="str">
        <f>IFERROR(LOOKUP(2,1/('🧪 Lab Results'!G21:Z21&lt;&gt;""),'🧪 Lab Results'!G21:Z21),"—")</f>
        <v>—</v>
      </c>
      <c r="D35" s="3" t="s">
        <v>180</v>
      </c>
      <c r="E35" s="3" t="s">
        <v>331</v>
      </c>
      <c r="F35" s="3"/>
    </row>
    <row r="36" spans="2:7" ht="15.75" customHeight="1" x14ac:dyDescent="0.25">
      <c r="B36" s="7" t="s">
        <v>183</v>
      </c>
      <c r="C36" s="3" t="str">
        <f>IFERROR(LOOKUP(2,1/('🧪 Lab Results'!G22:Z22&lt;&gt;""),'🧪 Lab Results'!G22:Z22),"—")</f>
        <v>—</v>
      </c>
      <c r="D36" s="3" t="s">
        <v>184</v>
      </c>
      <c r="E36" s="3" t="s">
        <v>332</v>
      </c>
      <c r="F36" s="3"/>
    </row>
    <row r="37" spans="2:7" ht="15.75" customHeight="1" x14ac:dyDescent="0.25">
      <c r="B37" s="7" t="s">
        <v>187</v>
      </c>
      <c r="C37" s="3" t="str">
        <f>IFERROR(LOOKUP(2,1/('🧪 Lab Results'!G23:Z23&lt;&gt;""),'🧪 Lab Results'!G23:Z23),"—")</f>
        <v>—</v>
      </c>
      <c r="D37" s="3" t="s">
        <v>184</v>
      </c>
      <c r="E37" s="3" t="s">
        <v>333</v>
      </c>
      <c r="F37" s="3"/>
    </row>
    <row r="38" spans="2:7" ht="15.75" customHeight="1" x14ac:dyDescent="0.25">
      <c r="B38" s="7" t="s">
        <v>204</v>
      </c>
      <c r="C38" s="3" t="str">
        <f>IFERROR(LOOKUP(2,1/('🧪 Lab Results'!G32:Z32&lt;&gt;""),'🧪 Lab Results'!G32:Z32),"—")</f>
        <v>—</v>
      </c>
      <c r="D38" s="3" t="s">
        <v>205</v>
      </c>
      <c r="E38" s="3" t="s">
        <v>334</v>
      </c>
      <c r="F38" s="3"/>
    </row>
    <row r="39" spans="2:7" ht="15.75" customHeight="1" x14ac:dyDescent="0.25">
      <c r="B39" s="7" t="s">
        <v>335</v>
      </c>
      <c r="C39" s="3" t="str">
        <f>IFERROR(LOOKUP(2,1/('🧪 Lab Results'!G35:Z35&lt;&gt;""),'🧪 Lab Results'!G35:Z35),"—")</f>
        <v>—</v>
      </c>
      <c r="D39" s="3" t="s">
        <v>214</v>
      </c>
      <c r="E39" s="3" t="s">
        <v>336</v>
      </c>
      <c r="F39" s="3"/>
    </row>
    <row r="40" spans="2:7" ht="15.75" customHeight="1" x14ac:dyDescent="0.25">
      <c r="B40" s="7" t="s">
        <v>222</v>
      </c>
      <c r="C40" s="3" t="str">
        <f>IFERROR(LOOKUP(2,1/('🧪 Lab Results'!G38:Z38&lt;&gt;""),'🧪 Lab Results'!G38:Z38),"—")</f>
        <v>—</v>
      </c>
      <c r="D40" s="3" t="s">
        <v>223</v>
      </c>
      <c r="E40" s="3" t="s">
        <v>337</v>
      </c>
      <c r="F40" s="3"/>
    </row>
    <row r="41" spans="2:7" ht="19.5" customHeight="1" x14ac:dyDescent="0.25">
      <c r="B41" s="163" t="str">
        <f>"  CURRENT MEDICATIONS — "&amp;'⚙ Dashboard Settings'!$T$205&amp;" active (Status = ACTIVE in Medication History)"&amp;IF('⚙ Dashboard Settings'!$T$205&gt;15,"   ⚠ "&amp;('⚙ Dashboard Settings'!$T$205-15)&amp;" more not shown — see 💊 Medication History","")</f>
        <v xml:space="preserve">  CURRENT MEDICATIONS — 0 active (Status = ACTIVE in Medication History)</v>
      </c>
      <c r="C41" s="121"/>
      <c r="D41" s="121"/>
      <c r="E41" s="121"/>
      <c r="F41" s="121"/>
      <c r="G41" s="121"/>
    </row>
    <row r="42" spans="2:7" ht="19.5" customHeight="1" x14ac:dyDescent="0.25">
      <c r="B42" s="15" t="s">
        <v>338</v>
      </c>
      <c r="C42" s="15" t="s">
        <v>339</v>
      </c>
      <c r="D42" s="15" t="s">
        <v>236</v>
      </c>
      <c r="E42" s="15" t="s">
        <v>237</v>
      </c>
      <c r="F42" s="15" t="s">
        <v>340</v>
      </c>
      <c r="G42" s="15" t="s">
        <v>315</v>
      </c>
    </row>
    <row r="43" spans="2:7" x14ac:dyDescent="0.25">
      <c r="B43" s="39" t="str">
        <f>IF('⚙ Dashboard Settings'!$V$6=0,"","1.  "&amp;INDEX('💊 Medication History'!$B$5:$B$204,'⚙ Dashboard Settings'!$V$6))</f>
        <v/>
      </c>
      <c r="C43" s="39" t="str">
        <f>IF('⚙ Dashboard Settings'!$V$6=0,"",INDEX('💊 Medication History'!$C$5:$C$204,'⚙ Dashboard Settings'!$V$6)&amp;"")</f>
        <v/>
      </c>
      <c r="D43" s="39" t="str">
        <f>IF('⚙ Dashboard Settings'!$V$6=0,"",INDEX('💊 Medication History'!$D$5:$D$204,'⚙ Dashboard Settings'!$V$6)&amp;"")</f>
        <v/>
      </c>
      <c r="E43" s="39" t="str">
        <f>IF('⚙ Dashboard Settings'!$V$6=0,"",INDEX('💊 Medication History'!$E$5:$E$204,'⚙ Dashboard Settings'!$V$6)&amp;"")</f>
        <v/>
      </c>
      <c r="F43" s="39" t="str">
        <f>IF('⚙ Dashboard Settings'!$V$6=0,"",INDEX('💊 Medication History'!$F$5:$F$204,'⚙ Dashboard Settings'!$V$6)&amp;"")</f>
        <v/>
      </c>
      <c r="G43" s="39" t="str">
        <f>IF('⚙ Dashboard Settings'!$V$6=0,"",INDEX('💊 Medication History'!$K$5:$K$204,'⚙ Dashboard Settings'!$V$6)&amp;"")</f>
        <v/>
      </c>
    </row>
    <row r="44" spans="2:7" x14ac:dyDescent="0.25">
      <c r="B44" s="39" t="str">
        <f>IF('⚙ Dashboard Settings'!$V$7=0,"","2.  "&amp;INDEX('💊 Medication History'!$B$5:$B$204,'⚙ Dashboard Settings'!$V$7))</f>
        <v/>
      </c>
      <c r="C44" s="39" t="str">
        <f>IF('⚙ Dashboard Settings'!$V$7=0,"",INDEX('💊 Medication History'!$C$5:$C$204,'⚙ Dashboard Settings'!$V$7)&amp;"")</f>
        <v/>
      </c>
      <c r="D44" s="39" t="str">
        <f>IF('⚙ Dashboard Settings'!$V$7=0,"",INDEX('💊 Medication History'!$D$5:$D$204,'⚙ Dashboard Settings'!$V$7)&amp;"")</f>
        <v/>
      </c>
      <c r="E44" s="39" t="str">
        <f>IF('⚙ Dashboard Settings'!$V$7=0,"",INDEX('💊 Medication History'!$E$5:$E$204,'⚙ Dashboard Settings'!$V$7)&amp;"")</f>
        <v/>
      </c>
      <c r="F44" s="39" t="str">
        <f>IF('⚙ Dashboard Settings'!$V$7=0,"",INDEX('💊 Medication History'!$F$5:$F$204,'⚙ Dashboard Settings'!$V$7)&amp;"")</f>
        <v/>
      </c>
      <c r="G44" s="39" t="str">
        <f>IF('⚙ Dashboard Settings'!$V$7=0,"",INDEX('💊 Medication History'!$K$5:$K$204,'⚙ Dashboard Settings'!$V$7)&amp;"")</f>
        <v/>
      </c>
    </row>
    <row r="45" spans="2:7" x14ac:dyDescent="0.25">
      <c r="B45" s="39" t="str">
        <f>IF('⚙ Dashboard Settings'!$V$8=0,"","3.  "&amp;INDEX('💊 Medication History'!$B$5:$B$204,'⚙ Dashboard Settings'!$V$8))</f>
        <v/>
      </c>
      <c r="C45" s="39" t="str">
        <f>IF('⚙ Dashboard Settings'!$V$8=0,"",INDEX('💊 Medication History'!$C$5:$C$204,'⚙ Dashboard Settings'!$V$8)&amp;"")</f>
        <v/>
      </c>
      <c r="D45" s="39" t="str">
        <f>IF('⚙ Dashboard Settings'!$V$8=0,"",INDEX('💊 Medication History'!$D$5:$D$204,'⚙ Dashboard Settings'!$V$8)&amp;"")</f>
        <v/>
      </c>
      <c r="E45" s="39" t="str">
        <f>IF('⚙ Dashboard Settings'!$V$8=0,"",INDEX('💊 Medication History'!$E$5:$E$204,'⚙ Dashboard Settings'!$V$8)&amp;"")</f>
        <v/>
      </c>
      <c r="F45" s="39" t="str">
        <f>IF('⚙ Dashboard Settings'!$V$8=0,"",INDEX('💊 Medication History'!$F$5:$F$204,'⚙ Dashboard Settings'!$V$8)&amp;"")</f>
        <v/>
      </c>
      <c r="G45" s="39" t="str">
        <f>IF('⚙ Dashboard Settings'!$V$8=0,"",INDEX('💊 Medication History'!$K$5:$K$204,'⚙ Dashboard Settings'!$V$8)&amp;"")</f>
        <v/>
      </c>
    </row>
    <row r="46" spans="2:7" x14ac:dyDescent="0.25">
      <c r="B46" s="39" t="str">
        <f>IF('⚙ Dashboard Settings'!$V$9=0,"","4.  "&amp;INDEX('💊 Medication History'!$B$5:$B$204,'⚙ Dashboard Settings'!$V$9))</f>
        <v/>
      </c>
      <c r="C46" s="39" t="str">
        <f>IF('⚙ Dashboard Settings'!$V$9=0,"",INDEX('💊 Medication History'!$C$5:$C$204,'⚙ Dashboard Settings'!$V$9)&amp;"")</f>
        <v/>
      </c>
      <c r="D46" s="39" t="str">
        <f>IF('⚙ Dashboard Settings'!$V$9=0,"",INDEX('💊 Medication History'!$D$5:$D$204,'⚙ Dashboard Settings'!$V$9)&amp;"")</f>
        <v/>
      </c>
      <c r="E46" s="39" t="str">
        <f>IF('⚙ Dashboard Settings'!$V$9=0,"",INDEX('💊 Medication History'!$E$5:$E$204,'⚙ Dashboard Settings'!$V$9)&amp;"")</f>
        <v/>
      </c>
      <c r="F46" s="39" t="str">
        <f>IF('⚙ Dashboard Settings'!$V$9=0,"",INDEX('💊 Medication History'!$F$5:$F$204,'⚙ Dashboard Settings'!$V$9)&amp;"")</f>
        <v/>
      </c>
      <c r="G46" s="39" t="str">
        <f>IF('⚙ Dashboard Settings'!$V$9=0,"",INDEX('💊 Medication History'!$K$5:$K$204,'⚙ Dashboard Settings'!$V$9)&amp;"")</f>
        <v/>
      </c>
    </row>
    <row r="47" spans="2:7" x14ac:dyDescent="0.25">
      <c r="B47" s="39" t="str">
        <f>IF('⚙ Dashboard Settings'!$V$10=0,"","5.  "&amp;INDEX('💊 Medication History'!$B$5:$B$204,'⚙ Dashboard Settings'!$V$10))</f>
        <v/>
      </c>
      <c r="C47" s="39" t="str">
        <f>IF('⚙ Dashboard Settings'!$V$10=0,"",INDEX('💊 Medication History'!$C$5:$C$204,'⚙ Dashboard Settings'!$V$10)&amp;"")</f>
        <v/>
      </c>
      <c r="D47" s="39" t="str">
        <f>IF('⚙ Dashboard Settings'!$V$10=0,"",INDEX('💊 Medication History'!$D$5:$D$204,'⚙ Dashboard Settings'!$V$10)&amp;"")</f>
        <v/>
      </c>
      <c r="E47" s="39" t="str">
        <f>IF('⚙ Dashboard Settings'!$V$10=0,"",INDEX('💊 Medication History'!$E$5:$E$204,'⚙ Dashboard Settings'!$V$10)&amp;"")</f>
        <v/>
      </c>
      <c r="F47" s="39" t="str">
        <f>IF('⚙ Dashboard Settings'!$V$10=0,"",INDEX('💊 Medication History'!$F$5:$F$204,'⚙ Dashboard Settings'!$V$10)&amp;"")</f>
        <v/>
      </c>
      <c r="G47" s="39" t="str">
        <f>IF('⚙ Dashboard Settings'!$V$10=0,"",INDEX('💊 Medication History'!$K$5:$K$204,'⚙ Dashboard Settings'!$V$10)&amp;"")</f>
        <v/>
      </c>
    </row>
    <row r="48" spans="2:7" x14ac:dyDescent="0.25">
      <c r="B48" s="39" t="str">
        <f>IF('⚙ Dashboard Settings'!$V$11=0,"","6.  "&amp;INDEX('💊 Medication History'!$B$5:$B$204,'⚙ Dashboard Settings'!$V$11))</f>
        <v/>
      </c>
      <c r="C48" s="39" t="str">
        <f>IF('⚙ Dashboard Settings'!$V$11=0,"",INDEX('💊 Medication History'!$C$5:$C$204,'⚙ Dashboard Settings'!$V$11)&amp;"")</f>
        <v/>
      </c>
      <c r="D48" s="39" t="str">
        <f>IF('⚙ Dashboard Settings'!$V$11=0,"",INDEX('💊 Medication History'!$D$5:$D$204,'⚙ Dashboard Settings'!$V$11)&amp;"")</f>
        <v/>
      </c>
      <c r="E48" s="39" t="str">
        <f>IF('⚙ Dashboard Settings'!$V$11=0,"",INDEX('💊 Medication History'!$E$5:$E$204,'⚙ Dashboard Settings'!$V$11)&amp;"")</f>
        <v/>
      </c>
      <c r="F48" s="39" t="str">
        <f>IF('⚙ Dashboard Settings'!$V$11=0,"",INDEX('💊 Medication History'!$F$5:$F$204,'⚙ Dashboard Settings'!$V$11)&amp;"")</f>
        <v/>
      </c>
      <c r="G48" s="39" t="str">
        <f>IF('⚙ Dashboard Settings'!$V$11=0,"",INDEX('💊 Medication History'!$K$5:$K$204,'⚙ Dashboard Settings'!$V$11)&amp;"")</f>
        <v/>
      </c>
    </row>
    <row r="49" spans="2:7" x14ac:dyDescent="0.25">
      <c r="B49" s="39" t="str">
        <f>IF('⚙ Dashboard Settings'!$V$12=0,"","7.  "&amp;INDEX('💊 Medication History'!$B$5:$B$204,'⚙ Dashboard Settings'!$V$12))</f>
        <v/>
      </c>
      <c r="C49" s="39" t="str">
        <f>IF('⚙ Dashboard Settings'!$V$12=0,"",INDEX('💊 Medication History'!$C$5:$C$204,'⚙ Dashboard Settings'!$V$12)&amp;"")</f>
        <v/>
      </c>
      <c r="D49" s="39" t="str">
        <f>IF('⚙ Dashboard Settings'!$V$12=0,"",INDEX('💊 Medication History'!$D$5:$D$204,'⚙ Dashboard Settings'!$V$12)&amp;"")</f>
        <v/>
      </c>
      <c r="E49" s="39" t="str">
        <f>IF('⚙ Dashboard Settings'!$V$12=0,"",INDEX('💊 Medication History'!$E$5:$E$204,'⚙ Dashboard Settings'!$V$12)&amp;"")</f>
        <v/>
      </c>
      <c r="F49" s="39" t="str">
        <f>IF('⚙ Dashboard Settings'!$V$12=0,"",INDEX('💊 Medication History'!$F$5:$F$204,'⚙ Dashboard Settings'!$V$12)&amp;"")</f>
        <v/>
      </c>
      <c r="G49" s="39" t="str">
        <f>IF('⚙ Dashboard Settings'!$V$12=0,"",INDEX('💊 Medication History'!$K$5:$K$204,'⚙ Dashboard Settings'!$V$12)&amp;"")</f>
        <v/>
      </c>
    </row>
    <row r="50" spans="2:7" x14ac:dyDescent="0.25">
      <c r="B50" s="39" t="str">
        <f>IF('⚙ Dashboard Settings'!$V$13=0,"","8.  "&amp;INDEX('💊 Medication History'!$B$5:$B$204,'⚙ Dashboard Settings'!$V$13))</f>
        <v/>
      </c>
      <c r="C50" s="39" t="str">
        <f>IF('⚙ Dashboard Settings'!$V$13=0,"",INDEX('💊 Medication History'!$C$5:$C$204,'⚙ Dashboard Settings'!$V$13)&amp;"")</f>
        <v/>
      </c>
      <c r="D50" s="39" t="str">
        <f>IF('⚙ Dashboard Settings'!$V$13=0,"",INDEX('💊 Medication History'!$D$5:$D$204,'⚙ Dashboard Settings'!$V$13)&amp;"")</f>
        <v/>
      </c>
      <c r="E50" s="39" t="str">
        <f>IF('⚙ Dashboard Settings'!$V$13=0,"",INDEX('💊 Medication History'!$E$5:$E$204,'⚙ Dashboard Settings'!$V$13)&amp;"")</f>
        <v/>
      </c>
      <c r="F50" s="39" t="str">
        <f>IF('⚙ Dashboard Settings'!$V$13=0,"",INDEX('💊 Medication History'!$F$5:$F$204,'⚙ Dashboard Settings'!$V$13)&amp;"")</f>
        <v/>
      </c>
      <c r="G50" s="39" t="str">
        <f>IF('⚙ Dashboard Settings'!$V$13=0,"",INDEX('💊 Medication History'!$K$5:$K$204,'⚙ Dashboard Settings'!$V$13)&amp;"")</f>
        <v/>
      </c>
    </row>
    <row r="51" spans="2:7" x14ac:dyDescent="0.25">
      <c r="B51" s="39" t="str">
        <f>IF('⚙ Dashboard Settings'!$V$14=0,"","9.  "&amp;INDEX('💊 Medication History'!$B$5:$B$204,'⚙ Dashboard Settings'!$V$14))</f>
        <v/>
      </c>
      <c r="C51" s="39" t="str">
        <f>IF('⚙ Dashboard Settings'!$V$14=0,"",INDEX('💊 Medication History'!$C$5:$C$204,'⚙ Dashboard Settings'!$V$14)&amp;"")</f>
        <v/>
      </c>
      <c r="D51" s="39" t="str">
        <f>IF('⚙ Dashboard Settings'!$V$14=0,"",INDEX('💊 Medication History'!$D$5:$D$204,'⚙ Dashboard Settings'!$V$14)&amp;"")</f>
        <v/>
      </c>
      <c r="E51" s="39" t="str">
        <f>IF('⚙ Dashboard Settings'!$V$14=0,"",INDEX('💊 Medication History'!$E$5:$E$204,'⚙ Dashboard Settings'!$V$14)&amp;"")</f>
        <v/>
      </c>
      <c r="F51" s="39" t="str">
        <f>IF('⚙ Dashboard Settings'!$V$14=0,"",INDEX('💊 Medication History'!$F$5:$F$204,'⚙ Dashboard Settings'!$V$14)&amp;"")</f>
        <v/>
      </c>
      <c r="G51" s="39" t="str">
        <f>IF('⚙ Dashboard Settings'!$V$14=0,"",INDEX('💊 Medication History'!$K$5:$K$204,'⚙ Dashboard Settings'!$V$14)&amp;"")</f>
        <v/>
      </c>
    </row>
    <row r="52" spans="2:7" x14ac:dyDescent="0.25">
      <c r="B52" s="39" t="str">
        <f>IF('⚙ Dashboard Settings'!$V$15=0,"","10.  "&amp;INDEX('💊 Medication History'!$B$5:$B$204,'⚙ Dashboard Settings'!$V$15))</f>
        <v/>
      </c>
      <c r="C52" s="39" t="str">
        <f>IF('⚙ Dashboard Settings'!$V$15=0,"",INDEX('💊 Medication History'!$C$5:$C$204,'⚙ Dashboard Settings'!$V$15)&amp;"")</f>
        <v/>
      </c>
      <c r="D52" s="39" t="str">
        <f>IF('⚙ Dashboard Settings'!$V$15=0,"",INDEX('💊 Medication History'!$D$5:$D$204,'⚙ Dashboard Settings'!$V$15)&amp;"")</f>
        <v/>
      </c>
      <c r="E52" s="39" t="str">
        <f>IF('⚙ Dashboard Settings'!$V$15=0,"",INDEX('💊 Medication History'!$E$5:$E$204,'⚙ Dashboard Settings'!$V$15)&amp;"")</f>
        <v/>
      </c>
      <c r="F52" s="39" t="str">
        <f>IF('⚙ Dashboard Settings'!$V$15=0,"",INDEX('💊 Medication History'!$F$5:$F$204,'⚙ Dashboard Settings'!$V$15)&amp;"")</f>
        <v/>
      </c>
      <c r="G52" s="39" t="str">
        <f>IF('⚙ Dashboard Settings'!$V$15=0,"",INDEX('💊 Medication History'!$K$5:$K$204,'⚙ Dashboard Settings'!$V$15)&amp;"")</f>
        <v/>
      </c>
    </row>
    <row r="53" spans="2:7" x14ac:dyDescent="0.25">
      <c r="B53" s="39" t="str">
        <f>IF('⚙ Dashboard Settings'!$V$16=0,"","11.  "&amp;INDEX('💊 Medication History'!$B$5:$B$204,'⚙ Dashboard Settings'!$V$16))</f>
        <v/>
      </c>
      <c r="C53" s="39" t="str">
        <f>IF('⚙ Dashboard Settings'!$V$16=0,"",INDEX('💊 Medication History'!$C$5:$C$204,'⚙ Dashboard Settings'!$V$16)&amp;"")</f>
        <v/>
      </c>
      <c r="D53" s="39" t="str">
        <f>IF('⚙ Dashboard Settings'!$V$16=0,"",INDEX('💊 Medication History'!$D$5:$D$204,'⚙ Dashboard Settings'!$V$16)&amp;"")</f>
        <v/>
      </c>
      <c r="E53" s="39" t="str">
        <f>IF('⚙ Dashboard Settings'!$V$16=0,"",INDEX('💊 Medication History'!$E$5:$E$204,'⚙ Dashboard Settings'!$V$16)&amp;"")</f>
        <v/>
      </c>
      <c r="F53" s="39" t="str">
        <f>IF('⚙ Dashboard Settings'!$V$16=0,"",INDEX('💊 Medication History'!$F$5:$F$204,'⚙ Dashboard Settings'!$V$16)&amp;"")</f>
        <v/>
      </c>
      <c r="G53" s="39" t="str">
        <f>IF('⚙ Dashboard Settings'!$V$16=0,"",INDEX('💊 Medication History'!$K$5:$K$204,'⚙ Dashboard Settings'!$V$16)&amp;"")</f>
        <v/>
      </c>
    </row>
    <row r="54" spans="2:7" x14ac:dyDescent="0.25">
      <c r="B54" s="39" t="str">
        <f>IF('⚙ Dashboard Settings'!$V$17=0,"","12.  "&amp;INDEX('💊 Medication History'!$B$5:$B$204,'⚙ Dashboard Settings'!$V$17))</f>
        <v/>
      </c>
      <c r="C54" s="39" t="str">
        <f>IF('⚙ Dashboard Settings'!$V$17=0,"",INDEX('💊 Medication History'!$C$5:$C$204,'⚙ Dashboard Settings'!$V$17)&amp;"")</f>
        <v/>
      </c>
      <c r="D54" s="39" t="str">
        <f>IF('⚙ Dashboard Settings'!$V$17=0,"",INDEX('💊 Medication History'!$D$5:$D$204,'⚙ Dashboard Settings'!$V$17)&amp;"")</f>
        <v/>
      </c>
      <c r="E54" s="39" t="str">
        <f>IF('⚙ Dashboard Settings'!$V$17=0,"",INDEX('💊 Medication History'!$E$5:$E$204,'⚙ Dashboard Settings'!$V$17)&amp;"")</f>
        <v/>
      </c>
      <c r="F54" s="39" t="str">
        <f>IF('⚙ Dashboard Settings'!$V$17=0,"",INDEX('💊 Medication History'!$F$5:$F$204,'⚙ Dashboard Settings'!$V$17)&amp;"")</f>
        <v/>
      </c>
      <c r="G54" s="39" t="str">
        <f>IF('⚙ Dashboard Settings'!$V$17=0,"",INDEX('💊 Medication History'!$K$5:$K$204,'⚙ Dashboard Settings'!$V$17)&amp;"")</f>
        <v/>
      </c>
    </row>
    <row r="55" spans="2:7" x14ac:dyDescent="0.25">
      <c r="B55" s="39" t="str">
        <f>IF('⚙ Dashboard Settings'!$V$18=0,"","13.  "&amp;INDEX('💊 Medication History'!$B$5:$B$204,'⚙ Dashboard Settings'!$V$18))</f>
        <v/>
      </c>
      <c r="C55" s="39" t="str">
        <f>IF('⚙ Dashboard Settings'!$V$18=0,"",INDEX('💊 Medication History'!$C$5:$C$204,'⚙ Dashboard Settings'!$V$18)&amp;"")</f>
        <v/>
      </c>
      <c r="D55" s="39" t="str">
        <f>IF('⚙ Dashboard Settings'!$V$18=0,"",INDEX('💊 Medication History'!$D$5:$D$204,'⚙ Dashboard Settings'!$V$18)&amp;"")</f>
        <v/>
      </c>
      <c r="E55" s="39" t="str">
        <f>IF('⚙ Dashboard Settings'!$V$18=0,"",INDEX('💊 Medication History'!$E$5:$E$204,'⚙ Dashboard Settings'!$V$18)&amp;"")</f>
        <v/>
      </c>
      <c r="F55" s="39" t="str">
        <f>IF('⚙ Dashboard Settings'!$V$18=0,"",INDEX('💊 Medication History'!$F$5:$F$204,'⚙ Dashboard Settings'!$V$18)&amp;"")</f>
        <v/>
      </c>
      <c r="G55" s="39" t="str">
        <f>IF('⚙ Dashboard Settings'!$V$18=0,"",INDEX('💊 Medication History'!$K$5:$K$204,'⚙ Dashboard Settings'!$V$18)&amp;"")</f>
        <v/>
      </c>
    </row>
    <row r="56" spans="2:7" x14ac:dyDescent="0.25">
      <c r="B56" s="39" t="str">
        <f>IF('⚙ Dashboard Settings'!$V$19=0,"","14.  "&amp;INDEX('💊 Medication History'!$B$5:$B$204,'⚙ Dashboard Settings'!$V$19))</f>
        <v/>
      </c>
      <c r="C56" s="39" t="str">
        <f>IF('⚙ Dashboard Settings'!$V$19=0,"",INDEX('💊 Medication History'!$C$5:$C$204,'⚙ Dashboard Settings'!$V$19)&amp;"")</f>
        <v/>
      </c>
      <c r="D56" s="39" t="str">
        <f>IF('⚙ Dashboard Settings'!$V$19=0,"",INDEX('💊 Medication History'!$D$5:$D$204,'⚙ Dashboard Settings'!$V$19)&amp;"")</f>
        <v/>
      </c>
      <c r="E56" s="39" t="str">
        <f>IF('⚙ Dashboard Settings'!$V$19=0,"",INDEX('💊 Medication History'!$E$5:$E$204,'⚙ Dashboard Settings'!$V$19)&amp;"")</f>
        <v/>
      </c>
      <c r="F56" s="39" t="str">
        <f>IF('⚙ Dashboard Settings'!$V$19=0,"",INDEX('💊 Medication History'!$F$5:$F$204,'⚙ Dashboard Settings'!$V$19)&amp;"")</f>
        <v/>
      </c>
      <c r="G56" s="39" t="str">
        <f>IF('⚙ Dashboard Settings'!$V$19=0,"",INDEX('💊 Medication History'!$K$5:$K$204,'⚙ Dashboard Settings'!$V$19)&amp;"")</f>
        <v/>
      </c>
    </row>
    <row r="57" spans="2:7" x14ac:dyDescent="0.25">
      <c r="B57" s="39" t="str">
        <f>IF('⚙ Dashboard Settings'!$V$20=0,"","15.  "&amp;INDEX('💊 Medication History'!$B$5:$B$204,'⚙ Dashboard Settings'!$V$20))</f>
        <v/>
      </c>
      <c r="C57" s="39" t="str">
        <f>IF('⚙ Dashboard Settings'!$V$20=0,"",INDEX('💊 Medication History'!$C$5:$C$204,'⚙ Dashboard Settings'!$V$20)&amp;"")</f>
        <v/>
      </c>
      <c r="D57" s="39" t="str">
        <f>IF('⚙ Dashboard Settings'!$V$20=0,"",INDEX('💊 Medication History'!$D$5:$D$204,'⚙ Dashboard Settings'!$V$20)&amp;"")</f>
        <v/>
      </c>
      <c r="E57" s="39" t="str">
        <f>IF('⚙ Dashboard Settings'!$V$20=0,"",INDEX('💊 Medication History'!$E$5:$E$204,'⚙ Dashboard Settings'!$V$20)&amp;"")</f>
        <v/>
      </c>
      <c r="F57" s="39" t="str">
        <f>IF('⚙ Dashboard Settings'!$V$20=0,"",INDEX('💊 Medication History'!$F$5:$F$204,'⚙ Dashboard Settings'!$V$20)&amp;"")</f>
        <v/>
      </c>
      <c r="G57" s="39" t="str">
        <f>IF('⚙ Dashboard Settings'!$V$20=0,"",INDEX('💊 Medication History'!$K$5:$K$204,'⚙ Dashboard Settings'!$V$20)&amp;"")</f>
        <v/>
      </c>
    </row>
    <row r="58" spans="2:7" ht="21" customHeight="1" x14ac:dyDescent="0.25">
      <c r="B58" s="161" t="s">
        <v>341</v>
      </c>
      <c r="C58" s="161"/>
      <c r="D58" s="161"/>
      <c r="E58" s="162" t="str">
        <f>IF(AND(ISNUMBER(E59),ISNUMBER(G59),ISNUMBER(MATCH(F59,{"Jan","Feb","Mar","Apr","May","Jun","Jul","Aug","Sep","Oct","Nov","Dec"},0))),IF(DAY(DATE(G59,MATCH(F59,{"Jan","Feb","Mar","Apr","May","Jun","Jul","Aug","Sep","Oct","Nov","Dec"},0),E59))=E59,"Next Visit Date :  "&amp;TEXT(DATE(G59,MATCH(F59,{"Jan","Feb","Mar","Apr","May","Jun","Jul","Aug","Sep","Oct","Nov","Dec"},0),E59),"ddd, dd-mmm-yyyy"),"Next Visit Date :  invalid date - please re-check"),"Next Visit Date :  select Day / Month / Year below")</f>
        <v>Next Visit Date :  select Day / Month / Year below</v>
      </c>
      <c r="F58" s="162"/>
      <c r="G58" s="162"/>
    </row>
    <row r="59" spans="2:7" ht="21" customHeight="1" x14ac:dyDescent="0.25">
      <c r="B59" s="161"/>
      <c r="C59" s="161"/>
      <c r="D59" s="161"/>
      <c r="E59" s="63" t="s">
        <v>509</v>
      </c>
      <c r="F59" s="63" t="s">
        <v>510</v>
      </c>
      <c r="G59" s="63" t="s">
        <v>511</v>
      </c>
    </row>
    <row r="60" spans="2:7" ht="17.25" customHeight="1" x14ac:dyDescent="0.25">
      <c r="B60" s="160" t="s">
        <v>342</v>
      </c>
      <c r="C60" s="159"/>
      <c r="D60" s="159"/>
      <c r="E60" s="159"/>
      <c r="F60" s="159"/>
      <c r="G60" s="159"/>
    </row>
    <row r="61" spans="2:7" ht="90.75" customHeight="1" x14ac:dyDescent="0.25">
      <c r="B61" s="160"/>
      <c r="C61" s="159"/>
      <c r="D61" s="159"/>
      <c r="E61" s="159"/>
      <c r="F61" s="159"/>
      <c r="G61" s="159"/>
    </row>
    <row r="62" spans="2:7" ht="15.75" customHeight="1" x14ac:dyDescent="0.25">
      <c r="B62" s="160"/>
      <c r="C62" s="159"/>
      <c r="D62" s="159"/>
      <c r="E62" s="159"/>
      <c r="F62" s="159"/>
      <c r="G62" s="159"/>
    </row>
    <row r="63" spans="2:7" ht="5.25" customHeight="1" x14ac:dyDescent="0.25">
      <c r="B63" s="160"/>
      <c r="C63" s="153"/>
      <c r="D63" s="153"/>
      <c r="E63" s="153"/>
      <c r="F63" s="153"/>
      <c r="G63" s="153"/>
    </row>
    <row r="64" spans="2:7" ht="24.75" customHeight="1" x14ac:dyDescent="0.25">
      <c r="B64" s="160" t="s">
        <v>343</v>
      </c>
      <c r="C64" s="159"/>
      <c r="D64" s="159"/>
      <c r="E64" s="159"/>
      <c r="F64" s="159"/>
      <c r="G64" s="159"/>
    </row>
    <row r="65" spans="2:7" ht="24.75" customHeight="1" x14ac:dyDescent="0.25">
      <c r="B65" s="160"/>
      <c r="C65" s="159"/>
      <c r="D65" s="159"/>
      <c r="E65" s="159"/>
      <c r="F65" s="159"/>
      <c r="G65" s="159"/>
    </row>
    <row r="66" spans="2:7" ht="14.25" customHeight="1" x14ac:dyDescent="0.25">
      <c r="B66" s="160"/>
      <c r="C66" s="159"/>
      <c r="D66" s="159"/>
      <c r="E66" s="159"/>
      <c r="F66" s="159"/>
      <c r="G66" s="159"/>
    </row>
    <row r="67" spans="2:7" ht="23.25" customHeight="1" x14ac:dyDescent="0.25">
      <c r="B67" s="160"/>
      <c r="C67" s="159"/>
      <c r="D67" s="159"/>
      <c r="E67" s="159"/>
      <c r="F67" s="159"/>
      <c r="G67" s="159"/>
    </row>
    <row r="68" spans="2:7" s="60" customFormat="1" ht="6.75" customHeight="1" x14ac:dyDescent="0.25">
      <c r="B68" s="156" t="s">
        <v>344</v>
      </c>
      <c r="C68" s="154"/>
      <c r="D68" s="155"/>
      <c r="E68" s="155"/>
      <c r="F68" s="155"/>
      <c r="G68" s="155"/>
    </row>
    <row r="69" spans="2:7" ht="15" customHeight="1" x14ac:dyDescent="0.25">
      <c r="B69" s="157"/>
      <c r="C69" s="159"/>
      <c r="D69" s="159"/>
      <c r="E69" s="159"/>
      <c r="F69" s="159"/>
      <c r="G69" s="159"/>
    </row>
    <row r="70" spans="2:7" ht="13.5" customHeight="1" x14ac:dyDescent="0.25">
      <c r="B70" s="157"/>
      <c r="C70" s="159"/>
      <c r="D70" s="159"/>
      <c r="E70" s="159"/>
      <c r="F70" s="159"/>
      <c r="G70" s="159"/>
    </row>
    <row r="71" spans="2:7" ht="14.25" customHeight="1" x14ac:dyDescent="0.25">
      <c r="B71" s="157"/>
      <c r="C71" s="159"/>
      <c r="D71" s="159"/>
      <c r="E71" s="159"/>
      <c r="F71" s="159"/>
      <c r="G71" s="159"/>
    </row>
    <row r="72" spans="2:7" ht="9" customHeight="1" x14ac:dyDescent="0.25">
      <c r="B72" s="158"/>
      <c r="C72" s="153"/>
      <c r="D72" s="153"/>
      <c r="E72" s="153"/>
      <c r="F72" s="153"/>
      <c r="G72" s="153"/>
    </row>
  </sheetData>
  <mergeCells count="33">
    <mergeCell ref="B41:G41"/>
    <mergeCell ref="C11:G11"/>
    <mergeCell ref="B2:G2"/>
    <mergeCell ref="C6:G6"/>
    <mergeCell ref="B23:G23"/>
    <mergeCell ref="B1:G1"/>
    <mergeCell ref="C5:G5"/>
    <mergeCell ref="B13:G13"/>
    <mergeCell ref="B4:G4"/>
    <mergeCell ref="C8:G8"/>
    <mergeCell ref="B3:G3"/>
    <mergeCell ref="C7:G7"/>
    <mergeCell ref="C10:G10"/>
    <mergeCell ref="C9:G9"/>
    <mergeCell ref="C12:G12"/>
    <mergeCell ref="B58:D59"/>
    <mergeCell ref="E58:G58"/>
    <mergeCell ref="C60:G60"/>
    <mergeCell ref="C61:G61"/>
    <mergeCell ref="C62:G62"/>
    <mergeCell ref="C63:G63"/>
    <mergeCell ref="B60:B63"/>
    <mergeCell ref="C64:G64"/>
    <mergeCell ref="C65:G65"/>
    <mergeCell ref="C66:G66"/>
    <mergeCell ref="C72:G72"/>
    <mergeCell ref="C68:G68"/>
    <mergeCell ref="B68:B72"/>
    <mergeCell ref="C67:G67"/>
    <mergeCell ref="B64:B67"/>
    <mergeCell ref="C69:G69"/>
    <mergeCell ref="C70:G70"/>
    <mergeCell ref="C71:G71"/>
  </mergeCells>
  <conditionalFormatting sqref="B43:G57">
    <cfRule type="expression" dxfId="6" priority="1">
      <formula>$B43&lt;&gt;""</formula>
    </cfRule>
  </conditionalFormatting>
  <dataValidations count="3">
    <dataValidation type="list" allowBlank="1" showInputMessage="1" showErrorMessage="1" errorTitle="Next Visit - Day" error="Please pick a day from 1 to 31 using the drop-down arrow." promptTitle="Next Visit - Day" prompt="Click the arrow and pick the day (1-31)." sqref="E59" xr:uid="{00000000-0002-0000-0600-000000000000}">
      <formula1>"1,2,3,4,5,6,7,8,9,10,11,12,13,14,15,16,17,18,19,20,21,22,23,24,25,26,27,28,29,30,31"</formula1>
    </dataValidation>
    <dataValidation type="list" allowBlank="1" showInputMessage="1" showErrorMessage="1" errorTitle="Next Visit - Month" error="Please pick a month from the drop-down list." promptTitle="Next Visit - Month" prompt="Click the arrow and pick the month." sqref="F59" xr:uid="{00000000-0002-0000-0600-000001000000}">
      <formula1>"Jan,Feb,Mar,Apr,May,Jun,Jul,Aug,Sep,Oct,Nov,Dec"</formula1>
    </dataValidation>
    <dataValidation type="list" allowBlank="1" showInputMessage="1" showErrorMessage="1" errorTitle="Next Visit - Year" error="Please pick a year from the drop-down list." promptTitle="Next Visit - Year" prompt="Click the arrow and pick the year." sqref="G59" xr:uid="{00000000-0002-0000-0600-000002000000}">
      <formula1>"2026,2027,2028,2029,2030,2031,2032,2033,2034,2035"</formula1>
    </dataValidation>
  </dataValidations>
  <pageMargins left="0.4" right="0.4" top="0.5" bottom="0.5" header="0.511811023622047" footer="0.511811023622047"/>
  <pageSetup paperSize="9" scale="52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8774-10DD-4240-96F3-FE41E52D651C}">
  <sheetPr>
    <tabColor rgb="FF4472C4"/>
    <pageSetUpPr fitToPage="1"/>
  </sheetPr>
  <dimension ref="B1:O66"/>
  <sheetViews>
    <sheetView showGridLines="0" zoomScaleNormal="100" workbookViewId="0">
      <pane xSplit="2" ySplit="6" topLeftCell="C12" activePane="bottomRight" state="frozen"/>
      <selection pane="topRight" activeCell="C1" sqref="C1"/>
      <selection pane="bottomLeft" activeCell="A7" sqref="A7"/>
      <selection pane="bottomRight" activeCell="C20" sqref="C20"/>
    </sheetView>
  </sheetViews>
  <sheetFormatPr defaultColWidth="8.7109375" defaultRowHeight="15" x14ac:dyDescent="0.25"/>
  <cols>
    <col min="1" max="1" width="3" customWidth="1"/>
    <col min="2" max="3" width="14" customWidth="1"/>
    <col min="4" max="5" width="12" customWidth="1"/>
    <col min="6" max="8" width="10" customWidth="1"/>
    <col min="9" max="9" width="13" customWidth="1"/>
    <col min="10" max="10" width="14" customWidth="1"/>
    <col min="11" max="12" width="12" customWidth="1"/>
    <col min="13" max="14" width="10" customWidth="1"/>
    <col min="15" max="15" width="30" customWidth="1"/>
  </cols>
  <sheetData>
    <row r="1" spans="2:15" ht="36" customHeight="1" x14ac:dyDescent="0.25">
      <c r="B1" s="139" t="s">
        <v>345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</row>
    <row r="2" spans="2:15" ht="15.75" customHeight="1" x14ac:dyDescent="0.25">
      <c r="B2" s="136" t="s">
        <v>346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</row>
    <row r="3" spans="2:15" ht="49.5" customHeight="1" x14ac:dyDescent="0.25">
      <c r="B3" s="168" t="s">
        <v>347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</row>
    <row r="4" spans="2:15" x14ac:dyDescent="0.25">
      <c r="B4" s="127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</row>
    <row r="5" spans="2:15" x14ac:dyDescent="0.25">
      <c r="B5" s="127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</row>
    <row r="6" spans="2:15" ht="39.75" customHeight="1" x14ac:dyDescent="0.25">
      <c r="B6" s="2" t="s">
        <v>348</v>
      </c>
      <c r="C6" s="2" t="s">
        <v>349</v>
      </c>
      <c r="D6" s="2" t="s">
        <v>350</v>
      </c>
      <c r="E6" s="2" t="s">
        <v>351</v>
      </c>
      <c r="F6" s="2" t="s">
        <v>352</v>
      </c>
      <c r="G6" s="2" t="s">
        <v>353</v>
      </c>
      <c r="H6" s="2" t="s">
        <v>354</v>
      </c>
      <c r="I6" s="2" t="s">
        <v>355</v>
      </c>
      <c r="J6" s="2" t="s">
        <v>356</v>
      </c>
      <c r="K6" s="2" t="s">
        <v>357</v>
      </c>
      <c r="L6" s="2" t="s">
        <v>358</v>
      </c>
      <c r="M6" s="2" t="s">
        <v>359</v>
      </c>
      <c r="N6" s="2" t="s">
        <v>360</v>
      </c>
      <c r="O6" s="2" t="s">
        <v>315</v>
      </c>
    </row>
    <row r="7" spans="2:15" ht="19.5" customHeight="1" x14ac:dyDescent="0.25">
      <c r="B7" s="9" t="str">
        <f>IF(COUNT('📅 Daily Vitals Log'!$B$4:$B$113)=0,"",MIN('📅 Daily Vitals Log'!$B$4:$B$113)-WEEKDAY(MIN('📅 Daily Vitals Log'!$B$4:$B$113),3))</f>
        <v/>
      </c>
      <c r="C7" s="9" t="str">
        <f t="shared" ref="C7:C38" si="0">IF(B7="","",B7+6)</f>
        <v/>
      </c>
      <c r="D7" s="10" t="str">
        <f>IF(B7="","",IFERROR(ROUND(AVERAGEIFS('📅 Daily Vitals Log'!C:C,'📅 Daily Vitals Log'!B:B,"&gt;="&amp;B7,'📅 Daily Vitals Log'!B:B,"&lt;="&amp;B7+6),1),""))</f>
        <v/>
      </c>
      <c r="E7" s="10" t="str">
        <f>IF(B7="","",IFERROR(ROUND(AVERAGEIFS('📅 Daily Vitals Log'!D:D,'📅 Daily Vitals Log'!B:B,"&gt;="&amp;B7,'📅 Daily Vitals Log'!B:B,"&lt;="&amp;B7+6),1),""))</f>
        <v/>
      </c>
      <c r="F7" s="10" t="str">
        <f>IF(B7="","",IFERROR(ROUND(AVERAGEIFS('📅 Daily Vitals Log'!E:E,'📅 Daily Vitals Log'!B:B,"&gt;="&amp;B7,'📅 Daily Vitals Log'!B:B,"&lt;="&amp;B7+6),1),""))</f>
        <v/>
      </c>
      <c r="G7" s="10" t="str">
        <f>IF(B7="","",IFERROR(ROUND(AVERAGEIFS('📅 Daily Vitals Log'!F:F,'📅 Daily Vitals Log'!B:B,"&gt;="&amp;B7,'📅 Daily Vitals Log'!B:B,"&lt;="&amp;B7+6),1),""))</f>
        <v/>
      </c>
      <c r="H7" s="11" t="str">
        <f>IF(B7="","",IFERROR(ROUND(AVERAGEIFS('📅 Daily Vitals Log'!H:H,'📅 Daily Vitals Log'!B:B,"&gt;="&amp;B7,'📅 Daily Vitals Log'!B:B,"&lt;="&amp;B7+6),2),""))</f>
        <v/>
      </c>
      <c r="I7" s="12" t="str">
        <f>IF(B7="","",IFERROR(ROUND(AVERAGEIFS('📅 Daily Vitals Log'!I:I,'📅 Daily Vitals Log'!B:B,"&gt;="&amp;B7,'📅 Daily Vitals Log'!B:B,"&lt;="&amp;B7+6),0),""))</f>
        <v/>
      </c>
      <c r="J7" s="12" t="str">
        <f>IF(B7="","",IFERROR(ROUND(AVERAGEIFS('📅 Daily Vitals Log'!J:J,'📅 Daily Vitals Log'!B:B,"&gt;="&amp;B7,'📅 Daily Vitals Log'!B:B,"&lt;="&amp;B7+6),0),""))</f>
        <v/>
      </c>
      <c r="K7" s="12" t="str">
        <f>IF(B7="","",IFERROR(ROUND(AVERAGEIFS('📅 Daily Vitals Log'!M:M,'📅 Daily Vitals Log'!B:B,"&gt;="&amp;B7,'📅 Daily Vitals Log'!B:B,"&lt;="&amp;B7+6),0),""))</f>
        <v/>
      </c>
      <c r="L7" s="12" t="str">
        <f>IF(B7="","",IFERROR(SUMIFS('📅 Daily Vitals Log'!I:I,'📅 Daily Vitals Log'!B:B,"&gt;="&amp;B7,'📅 Daily Vitals Log'!B:B,"&lt;="&amp;B7+6)-SUMIFS('📅 Daily Vitals Log'!J:J,'📅 Daily Vitals Log'!B:B,"&gt;="&amp;B7,'📅 Daily Vitals Log'!B:B,"&lt;="&amp;B7+6),""))</f>
        <v/>
      </c>
      <c r="M7" s="13" t="str">
        <f>IF(B7="","",COUNTIFS('📅 Daily Vitals Log'!B:B,"&gt;="&amp;B7,'📅 Daily Vitals Log'!B:B,"&lt;="&amp;B7+6,'📅 Daily Vitals Log'!F:F,"&lt;94"))</f>
        <v/>
      </c>
      <c r="N7" s="13" t="str">
        <f>IF(B7="","",SUMPRODUCT(('📅 Daily Vitals Log'!$B$4:$B$113&gt;=B7)*('📅 Daily Vitals Log'!$B$4:$B$113&lt;=B7+6)*('📅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7" s="8"/>
    </row>
    <row r="8" spans="2:15" ht="19.5" customHeight="1" x14ac:dyDescent="0.25">
      <c r="B8" s="9" t="str">
        <f>IF(B7="","",IF(B7+7&gt;MAX('📅 Daily Vitals Log'!$B$4:$B$113),"",B7+7))</f>
        <v/>
      </c>
      <c r="C8" s="9" t="str">
        <f t="shared" si="0"/>
        <v/>
      </c>
      <c r="D8" s="10" t="str">
        <f>IF(B8="","",IFERROR(ROUND(AVERAGEIFS('📅 Daily Vitals Log'!C:C,'📅 Daily Vitals Log'!B:B,"&gt;="&amp;B8,'📅 Daily Vitals Log'!B:B,"&lt;="&amp;B8+6),1),""))</f>
        <v/>
      </c>
      <c r="E8" s="10" t="str">
        <f>IF(B8="","",IFERROR(ROUND(AVERAGEIFS('📅 Daily Vitals Log'!D:D,'📅 Daily Vitals Log'!B:B,"&gt;="&amp;B8,'📅 Daily Vitals Log'!B:B,"&lt;="&amp;B8+6),1),""))</f>
        <v/>
      </c>
      <c r="F8" s="10" t="str">
        <f>IF(B8="","",IFERROR(ROUND(AVERAGEIFS('📅 Daily Vitals Log'!E:E,'📅 Daily Vitals Log'!B:B,"&gt;="&amp;B8,'📅 Daily Vitals Log'!B:B,"&lt;="&amp;B8+6),1),""))</f>
        <v/>
      </c>
      <c r="G8" s="10" t="str">
        <f>IF(B8="","",IFERROR(ROUND(AVERAGEIFS('📅 Daily Vitals Log'!F:F,'📅 Daily Vitals Log'!B:B,"&gt;="&amp;B8,'📅 Daily Vitals Log'!B:B,"&lt;="&amp;B8+6),1),""))</f>
        <v/>
      </c>
      <c r="H8" s="11" t="str">
        <f>IF(B8="","",IFERROR(ROUND(AVERAGEIFS('📅 Daily Vitals Log'!H:H,'📅 Daily Vitals Log'!B:B,"&gt;="&amp;B8,'📅 Daily Vitals Log'!B:B,"&lt;="&amp;B8+6),2),""))</f>
        <v/>
      </c>
      <c r="I8" s="12" t="str">
        <f>IF(B8="","",IFERROR(ROUND(AVERAGEIFS('📅 Daily Vitals Log'!I:I,'📅 Daily Vitals Log'!B:B,"&gt;="&amp;B8,'📅 Daily Vitals Log'!B:B,"&lt;="&amp;B8+6),0),""))</f>
        <v/>
      </c>
      <c r="J8" s="12" t="str">
        <f>IF(B8="","",IFERROR(ROUND(AVERAGEIFS('📅 Daily Vitals Log'!J:J,'📅 Daily Vitals Log'!B:B,"&gt;="&amp;B8,'📅 Daily Vitals Log'!B:B,"&lt;="&amp;B8+6),0),""))</f>
        <v/>
      </c>
      <c r="K8" s="12" t="str">
        <f>IF(B8="","",IFERROR(ROUND(AVERAGEIFS('📅 Daily Vitals Log'!M:M,'📅 Daily Vitals Log'!B:B,"&gt;="&amp;B8,'📅 Daily Vitals Log'!B:B,"&lt;="&amp;B8+6),0),""))</f>
        <v/>
      </c>
      <c r="L8" s="12" t="str">
        <f>IF(B8="","",IFERROR(SUMIFS('📅 Daily Vitals Log'!I:I,'📅 Daily Vitals Log'!B:B,"&gt;="&amp;B8,'📅 Daily Vitals Log'!B:B,"&lt;="&amp;B8+6)-SUMIFS('📅 Daily Vitals Log'!J:J,'📅 Daily Vitals Log'!B:B,"&gt;="&amp;B8,'📅 Daily Vitals Log'!B:B,"&lt;="&amp;B8+6),""))</f>
        <v/>
      </c>
      <c r="M8" s="13" t="str">
        <f>IF(B8="","",COUNTIFS('📅 Daily Vitals Log'!B:B,"&gt;="&amp;B8,'📅 Daily Vitals Log'!B:B,"&lt;="&amp;B8+6,'📅 Daily Vitals Log'!F:F,"&lt;94"))</f>
        <v/>
      </c>
      <c r="N8" s="13" t="str">
        <f>IF(B8="","",SUMPRODUCT(('📅 Daily Vitals Log'!$B$4:$B$113&gt;=B8)*('📅 Daily Vitals Log'!$B$4:$B$113&lt;=B8+6)*('📅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8" s="8"/>
    </row>
    <row r="9" spans="2:15" ht="19.5" customHeight="1" x14ac:dyDescent="0.25">
      <c r="B9" s="9" t="str">
        <f>IF(B8="","",IF(B8+7&gt;MAX('📅 Daily Vitals Log'!$B$4:$B$113),"",B8+7))</f>
        <v/>
      </c>
      <c r="C9" s="9" t="str">
        <f t="shared" si="0"/>
        <v/>
      </c>
      <c r="D9" s="10" t="str">
        <f>IF(B9="","",IFERROR(ROUND(AVERAGEIFS('📅 Daily Vitals Log'!C:C,'📅 Daily Vitals Log'!B:B,"&gt;="&amp;B9,'📅 Daily Vitals Log'!B:B,"&lt;="&amp;B9+6),1),""))</f>
        <v/>
      </c>
      <c r="E9" s="10" t="str">
        <f>IF(B9="","",IFERROR(ROUND(AVERAGEIFS('📅 Daily Vitals Log'!D:D,'📅 Daily Vitals Log'!B:B,"&gt;="&amp;B9,'📅 Daily Vitals Log'!B:B,"&lt;="&amp;B9+6),1),""))</f>
        <v/>
      </c>
      <c r="F9" s="10" t="str">
        <f>IF(B9="","",IFERROR(ROUND(AVERAGEIFS('📅 Daily Vitals Log'!E:E,'📅 Daily Vitals Log'!B:B,"&gt;="&amp;B9,'📅 Daily Vitals Log'!B:B,"&lt;="&amp;B9+6),1),""))</f>
        <v/>
      </c>
      <c r="G9" s="10" t="str">
        <f>IF(B9="","",IFERROR(ROUND(AVERAGEIFS('📅 Daily Vitals Log'!F:F,'📅 Daily Vitals Log'!B:B,"&gt;="&amp;B9,'📅 Daily Vitals Log'!B:B,"&lt;="&amp;B9+6),1),""))</f>
        <v/>
      </c>
      <c r="H9" s="11" t="str">
        <f>IF(B9="","",IFERROR(ROUND(AVERAGEIFS('📅 Daily Vitals Log'!H:H,'📅 Daily Vitals Log'!B:B,"&gt;="&amp;B9,'📅 Daily Vitals Log'!B:B,"&lt;="&amp;B9+6),2),""))</f>
        <v/>
      </c>
      <c r="I9" s="12" t="str">
        <f>IF(B9="","",IFERROR(ROUND(AVERAGEIFS('📅 Daily Vitals Log'!I:I,'📅 Daily Vitals Log'!B:B,"&gt;="&amp;B9,'📅 Daily Vitals Log'!B:B,"&lt;="&amp;B9+6),0),""))</f>
        <v/>
      </c>
      <c r="J9" s="12" t="str">
        <f>IF(B9="","",IFERROR(ROUND(AVERAGEIFS('📅 Daily Vitals Log'!J:J,'📅 Daily Vitals Log'!B:B,"&gt;="&amp;B9,'📅 Daily Vitals Log'!B:B,"&lt;="&amp;B9+6),0),""))</f>
        <v/>
      </c>
      <c r="K9" s="12" t="str">
        <f>IF(B9="","",IFERROR(ROUND(AVERAGEIFS('📅 Daily Vitals Log'!M:M,'📅 Daily Vitals Log'!B:B,"&gt;="&amp;B9,'📅 Daily Vitals Log'!B:B,"&lt;="&amp;B9+6),0),""))</f>
        <v/>
      </c>
      <c r="L9" s="12" t="str">
        <f>IF(B9="","",IFERROR(SUMIFS('📅 Daily Vitals Log'!I:I,'📅 Daily Vitals Log'!B:B,"&gt;="&amp;B9,'📅 Daily Vitals Log'!B:B,"&lt;="&amp;B9+6)-SUMIFS('📅 Daily Vitals Log'!J:J,'📅 Daily Vitals Log'!B:B,"&gt;="&amp;B9,'📅 Daily Vitals Log'!B:B,"&lt;="&amp;B9+6),""))</f>
        <v/>
      </c>
      <c r="M9" s="13" t="str">
        <f>IF(B9="","",COUNTIFS('📅 Daily Vitals Log'!B:B,"&gt;="&amp;B9,'📅 Daily Vitals Log'!B:B,"&lt;="&amp;B9+6,'📅 Daily Vitals Log'!F:F,"&lt;94"))</f>
        <v/>
      </c>
      <c r="N9" s="13" t="str">
        <f>IF(B9="","",SUMPRODUCT(('📅 Daily Vitals Log'!$B$4:$B$113&gt;=B9)*('📅 Daily Vitals Log'!$B$4:$B$113&lt;=B9+6)*('📅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9" s="8"/>
    </row>
    <row r="10" spans="2:15" ht="19.5" customHeight="1" x14ac:dyDescent="0.25">
      <c r="B10" s="9" t="str">
        <f>IF(B9="","",IF(B9+7&gt;MAX('📅 Daily Vitals Log'!$B$4:$B$113),"",B9+7))</f>
        <v/>
      </c>
      <c r="C10" s="9" t="str">
        <f t="shared" si="0"/>
        <v/>
      </c>
      <c r="D10" s="10" t="str">
        <f>IF(B10="","",IFERROR(ROUND(AVERAGEIFS('📅 Daily Vitals Log'!C:C,'📅 Daily Vitals Log'!B:B,"&gt;="&amp;B10,'📅 Daily Vitals Log'!B:B,"&lt;="&amp;B10+6),1),""))</f>
        <v/>
      </c>
      <c r="E10" s="10" t="str">
        <f>IF(B10="","",IFERROR(ROUND(AVERAGEIFS('📅 Daily Vitals Log'!D:D,'📅 Daily Vitals Log'!B:B,"&gt;="&amp;B10,'📅 Daily Vitals Log'!B:B,"&lt;="&amp;B10+6),1),""))</f>
        <v/>
      </c>
      <c r="F10" s="10" t="str">
        <f>IF(B10="","",IFERROR(ROUND(AVERAGEIFS('📅 Daily Vitals Log'!E:E,'📅 Daily Vitals Log'!B:B,"&gt;="&amp;B10,'📅 Daily Vitals Log'!B:B,"&lt;="&amp;B10+6),1),""))</f>
        <v/>
      </c>
      <c r="G10" s="10" t="str">
        <f>IF(B10="","",IFERROR(ROUND(AVERAGEIFS('📅 Daily Vitals Log'!F:F,'📅 Daily Vitals Log'!B:B,"&gt;="&amp;B10,'📅 Daily Vitals Log'!B:B,"&lt;="&amp;B10+6),1),""))</f>
        <v/>
      </c>
      <c r="H10" s="11" t="str">
        <f>IF(B10="","",IFERROR(ROUND(AVERAGEIFS('📅 Daily Vitals Log'!H:H,'📅 Daily Vitals Log'!B:B,"&gt;="&amp;B10,'📅 Daily Vitals Log'!B:B,"&lt;="&amp;B10+6),2),""))</f>
        <v/>
      </c>
      <c r="I10" s="12" t="str">
        <f>IF(B10="","",IFERROR(ROUND(AVERAGEIFS('📅 Daily Vitals Log'!I:I,'📅 Daily Vitals Log'!B:B,"&gt;="&amp;B10,'📅 Daily Vitals Log'!B:B,"&lt;="&amp;B10+6),0),""))</f>
        <v/>
      </c>
      <c r="J10" s="12" t="str">
        <f>IF(B10="","",IFERROR(ROUND(AVERAGEIFS('📅 Daily Vitals Log'!J:J,'📅 Daily Vitals Log'!B:B,"&gt;="&amp;B10,'📅 Daily Vitals Log'!B:B,"&lt;="&amp;B10+6),0),""))</f>
        <v/>
      </c>
      <c r="K10" s="12" t="str">
        <f>IF(B10="","",IFERROR(ROUND(AVERAGEIFS('📅 Daily Vitals Log'!M:M,'📅 Daily Vitals Log'!B:B,"&gt;="&amp;B10,'📅 Daily Vitals Log'!B:B,"&lt;="&amp;B10+6),0),""))</f>
        <v/>
      </c>
      <c r="L10" s="12" t="str">
        <f>IF(B10="","",IFERROR(SUMIFS('📅 Daily Vitals Log'!I:I,'📅 Daily Vitals Log'!B:B,"&gt;="&amp;B10,'📅 Daily Vitals Log'!B:B,"&lt;="&amp;B10+6)-SUMIFS('📅 Daily Vitals Log'!J:J,'📅 Daily Vitals Log'!B:B,"&gt;="&amp;B10,'📅 Daily Vitals Log'!B:B,"&lt;="&amp;B10+6),""))</f>
        <v/>
      </c>
      <c r="M10" s="13" t="str">
        <f>IF(B10="","",COUNTIFS('📅 Daily Vitals Log'!B:B,"&gt;="&amp;B10,'📅 Daily Vitals Log'!B:B,"&lt;="&amp;B10+6,'📅 Daily Vitals Log'!F:F,"&lt;94"))</f>
        <v/>
      </c>
      <c r="N10" s="13" t="str">
        <f>IF(B10="","",SUMPRODUCT(('📅 Daily Vitals Log'!$B$4:$B$113&gt;=B10)*('📅 Daily Vitals Log'!$B$4:$B$113&lt;=B10+6)*('📅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10" s="8"/>
    </row>
    <row r="11" spans="2:15" ht="19.5" customHeight="1" x14ac:dyDescent="0.25">
      <c r="B11" s="9" t="str">
        <f>IF(B10="","",IF(B10+7&gt;MAX('📅 Daily Vitals Log'!$B$4:$B$113),"",B10+7))</f>
        <v/>
      </c>
      <c r="C11" s="9" t="str">
        <f t="shared" si="0"/>
        <v/>
      </c>
      <c r="D11" s="10" t="str">
        <f>IF(B11="","",IFERROR(ROUND(AVERAGEIFS('📅 Daily Vitals Log'!C:C,'📅 Daily Vitals Log'!B:B,"&gt;="&amp;B11,'📅 Daily Vitals Log'!B:B,"&lt;="&amp;B11+6),1),""))</f>
        <v/>
      </c>
      <c r="E11" s="10" t="str">
        <f>IF(B11="","",IFERROR(ROUND(AVERAGEIFS('📅 Daily Vitals Log'!D:D,'📅 Daily Vitals Log'!B:B,"&gt;="&amp;B11,'📅 Daily Vitals Log'!B:B,"&lt;="&amp;B11+6),1),""))</f>
        <v/>
      </c>
      <c r="F11" s="10" t="str">
        <f>IF(B11="","",IFERROR(ROUND(AVERAGEIFS('📅 Daily Vitals Log'!E:E,'📅 Daily Vitals Log'!B:B,"&gt;="&amp;B11,'📅 Daily Vitals Log'!B:B,"&lt;="&amp;B11+6),1),""))</f>
        <v/>
      </c>
      <c r="G11" s="10" t="str">
        <f>IF(B11="","",IFERROR(ROUND(AVERAGEIFS('📅 Daily Vitals Log'!F:F,'📅 Daily Vitals Log'!B:B,"&gt;="&amp;B11,'📅 Daily Vitals Log'!B:B,"&lt;="&amp;B11+6),1),""))</f>
        <v/>
      </c>
      <c r="H11" s="11" t="str">
        <f>IF(B11="","",IFERROR(ROUND(AVERAGEIFS('📅 Daily Vitals Log'!H:H,'📅 Daily Vitals Log'!B:B,"&gt;="&amp;B11,'📅 Daily Vitals Log'!B:B,"&lt;="&amp;B11+6),2),""))</f>
        <v/>
      </c>
      <c r="I11" s="12" t="str">
        <f>IF(B11="","",IFERROR(ROUND(AVERAGEIFS('📅 Daily Vitals Log'!I:I,'📅 Daily Vitals Log'!B:B,"&gt;="&amp;B11,'📅 Daily Vitals Log'!B:B,"&lt;="&amp;B11+6),0),""))</f>
        <v/>
      </c>
      <c r="J11" s="12" t="str">
        <f>IF(B11="","",IFERROR(ROUND(AVERAGEIFS('📅 Daily Vitals Log'!J:J,'📅 Daily Vitals Log'!B:B,"&gt;="&amp;B11,'📅 Daily Vitals Log'!B:B,"&lt;="&amp;B11+6),0),""))</f>
        <v/>
      </c>
      <c r="K11" s="12" t="str">
        <f>IF(B11="","",IFERROR(ROUND(AVERAGEIFS('📅 Daily Vitals Log'!M:M,'📅 Daily Vitals Log'!B:B,"&gt;="&amp;B11,'📅 Daily Vitals Log'!B:B,"&lt;="&amp;B11+6),0),""))</f>
        <v/>
      </c>
      <c r="L11" s="12" t="str">
        <f>IF(B11="","",IFERROR(SUMIFS('📅 Daily Vitals Log'!I:I,'📅 Daily Vitals Log'!B:B,"&gt;="&amp;B11,'📅 Daily Vitals Log'!B:B,"&lt;="&amp;B11+6)-SUMIFS('📅 Daily Vitals Log'!J:J,'📅 Daily Vitals Log'!B:B,"&gt;="&amp;B11,'📅 Daily Vitals Log'!B:B,"&lt;="&amp;B11+6),""))</f>
        <v/>
      </c>
      <c r="M11" s="13" t="str">
        <f>IF(B11="","",COUNTIFS('📅 Daily Vitals Log'!B:B,"&gt;="&amp;B11,'📅 Daily Vitals Log'!B:B,"&lt;="&amp;B11+6,'📅 Daily Vitals Log'!F:F,"&lt;94"))</f>
        <v/>
      </c>
      <c r="N11" s="13" t="str">
        <f>IF(B11="","",SUMPRODUCT(('📅 Daily Vitals Log'!$B$4:$B$113&gt;=B11)*('📅 Daily Vitals Log'!$B$4:$B$113&lt;=B11+6)*('📅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11" s="8"/>
    </row>
    <row r="12" spans="2:15" ht="19.5" customHeight="1" x14ac:dyDescent="0.25">
      <c r="B12" s="9" t="str">
        <f>IF(B11="","",IF(B11+7&gt;MAX('📅 Daily Vitals Log'!$B$4:$B$113),"",B11+7))</f>
        <v/>
      </c>
      <c r="C12" s="9" t="str">
        <f t="shared" si="0"/>
        <v/>
      </c>
      <c r="D12" s="10" t="str">
        <f>IF(B12="","",IFERROR(ROUND(AVERAGEIFS('📅 Daily Vitals Log'!C:C,'📅 Daily Vitals Log'!B:B,"&gt;="&amp;B12,'📅 Daily Vitals Log'!B:B,"&lt;="&amp;B12+6),1),""))</f>
        <v/>
      </c>
      <c r="E12" s="10" t="str">
        <f>IF(B12="","",IFERROR(ROUND(AVERAGEIFS('📅 Daily Vitals Log'!D:D,'📅 Daily Vitals Log'!B:B,"&gt;="&amp;B12,'📅 Daily Vitals Log'!B:B,"&lt;="&amp;B12+6),1),""))</f>
        <v/>
      </c>
      <c r="F12" s="10" t="str">
        <f>IF(B12="","",IFERROR(ROUND(AVERAGEIFS('📅 Daily Vitals Log'!E:E,'📅 Daily Vitals Log'!B:B,"&gt;="&amp;B12,'📅 Daily Vitals Log'!B:B,"&lt;="&amp;B12+6),1),""))</f>
        <v/>
      </c>
      <c r="G12" s="10" t="str">
        <f>IF(B12="","",IFERROR(ROUND(AVERAGEIFS('📅 Daily Vitals Log'!F:F,'📅 Daily Vitals Log'!B:B,"&gt;="&amp;B12,'📅 Daily Vitals Log'!B:B,"&lt;="&amp;B12+6),1),""))</f>
        <v/>
      </c>
      <c r="H12" s="11" t="str">
        <f>IF(B12="","",IFERROR(ROUND(AVERAGEIFS('📅 Daily Vitals Log'!H:H,'📅 Daily Vitals Log'!B:B,"&gt;="&amp;B12,'📅 Daily Vitals Log'!B:B,"&lt;="&amp;B12+6),2),""))</f>
        <v/>
      </c>
      <c r="I12" s="12" t="str">
        <f>IF(B12="","",IFERROR(ROUND(AVERAGEIFS('📅 Daily Vitals Log'!I:I,'📅 Daily Vitals Log'!B:B,"&gt;="&amp;B12,'📅 Daily Vitals Log'!B:B,"&lt;="&amp;B12+6),0),""))</f>
        <v/>
      </c>
      <c r="J12" s="12" t="str">
        <f>IF(B12="","",IFERROR(ROUND(AVERAGEIFS('📅 Daily Vitals Log'!J:J,'📅 Daily Vitals Log'!B:B,"&gt;="&amp;B12,'📅 Daily Vitals Log'!B:B,"&lt;="&amp;B12+6),0),""))</f>
        <v/>
      </c>
      <c r="K12" s="12" t="str">
        <f>IF(B12="","",IFERROR(ROUND(AVERAGEIFS('📅 Daily Vitals Log'!M:M,'📅 Daily Vitals Log'!B:B,"&gt;="&amp;B12,'📅 Daily Vitals Log'!B:B,"&lt;="&amp;B12+6),0),""))</f>
        <v/>
      </c>
      <c r="L12" s="12" t="str">
        <f>IF(B12="","",IFERROR(SUMIFS('📅 Daily Vitals Log'!I:I,'📅 Daily Vitals Log'!B:B,"&gt;="&amp;B12,'📅 Daily Vitals Log'!B:B,"&lt;="&amp;B12+6)-SUMIFS('📅 Daily Vitals Log'!J:J,'📅 Daily Vitals Log'!B:B,"&gt;="&amp;B12,'📅 Daily Vitals Log'!B:B,"&lt;="&amp;B12+6),""))</f>
        <v/>
      </c>
      <c r="M12" s="13" t="str">
        <f>IF(B12="","",COUNTIFS('📅 Daily Vitals Log'!B:B,"&gt;="&amp;B12,'📅 Daily Vitals Log'!B:B,"&lt;="&amp;B12+6,'📅 Daily Vitals Log'!F:F,"&lt;94"))</f>
        <v/>
      </c>
      <c r="N12" s="13" t="str">
        <f>IF(B12="","",SUMPRODUCT(('📅 Daily Vitals Log'!$B$4:$B$113&gt;=B12)*('📅 Daily Vitals Log'!$B$4:$B$113&lt;=B12+6)*('📅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12" s="8"/>
    </row>
    <row r="13" spans="2:15" ht="19.5" customHeight="1" x14ac:dyDescent="0.25">
      <c r="B13" s="9" t="str">
        <f>IF(B12="","",IF(B12+7&gt;MAX('📅 Daily Vitals Log'!$B$4:$B$113),"",B12+7))</f>
        <v/>
      </c>
      <c r="C13" s="9" t="str">
        <f t="shared" si="0"/>
        <v/>
      </c>
      <c r="D13" s="10" t="str">
        <f>IF(B13="","",IFERROR(ROUND(AVERAGEIFS('📅 Daily Vitals Log'!C:C,'📅 Daily Vitals Log'!B:B,"&gt;="&amp;B13,'📅 Daily Vitals Log'!B:B,"&lt;="&amp;B13+6),1),""))</f>
        <v/>
      </c>
      <c r="E13" s="10" t="str">
        <f>IF(B13="","",IFERROR(ROUND(AVERAGEIFS('📅 Daily Vitals Log'!D:D,'📅 Daily Vitals Log'!B:B,"&gt;="&amp;B13,'📅 Daily Vitals Log'!B:B,"&lt;="&amp;B13+6),1),""))</f>
        <v/>
      </c>
      <c r="F13" s="10" t="str">
        <f>IF(B13="","",IFERROR(ROUND(AVERAGEIFS('📅 Daily Vitals Log'!E:E,'📅 Daily Vitals Log'!B:B,"&gt;="&amp;B13,'📅 Daily Vitals Log'!B:B,"&lt;="&amp;B13+6),1),""))</f>
        <v/>
      </c>
      <c r="G13" s="10" t="str">
        <f>IF(B13="","",IFERROR(ROUND(AVERAGEIFS('📅 Daily Vitals Log'!F:F,'📅 Daily Vitals Log'!B:B,"&gt;="&amp;B13,'📅 Daily Vitals Log'!B:B,"&lt;="&amp;B13+6),1),""))</f>
        <v/>
      </c>
      <c r="H13" s="11" t="str">
        <f>IF(B13="","",IFERROR(ROUND(AVERAGEIFS('📅 Daily Vitals Log'!H:H,'📅 Daily Vitals Log'!B:B,"&gt;="&amp;B13,'📅 Daily Vitals Log'!B:B,"&lt;="&amp;B13+6),2),""))</f>
        <v/>
      </c>
      <c r="I13" s="12" t="str">
        <f>IF(B13="","",IFERROR(ROUND(AVERAGEIFS('📅 Daily Vitals Log'!I:I,'📅 Daily Vitals Log'!B:B,"&gt;="&amp;B13,'📅 Daily Vitals Log'!B:B,"&lt;="&amp;B13+6),0),""))</f>
        <v/>
      </c>
      <c r="J13" s="12" t="str">
        <f>IF(B13="","",IFERROR(ROUND(AVERAGEIFS('📅 Daily Vitals Log'!J:J,'📅 Daily Vitals Log'!B:B,"&gt;="&amp;B13,'📅 Daily Vitals Log'!B:B,"&lt;="&amp;B13+6),0),""))</f>
        <v/>
      </c>
      <c r="K13" s="12" t="str">
        <f>IF(B13="","",IFERROR(ROUND(AVERAGEIFS('📅 Daily Vitals Log'!M:M,'📅 Daily Vitals Log'!B:B,"&gt;="&amp;B13,'📅 Daily Vitals Log'!B:B,"&lt;="&amp;B13+6),0),""))</f>
        <v/>
      </c>
      <c r="L13" s="12" t="str">
        <f>IF(B13="","",IFERROR(SUMIFS('📅 Daily Vitals Log'!I:I,'📅 Daily Vitals Log'!B:B,"&gt;="&amp;B13,'📅 Daily Vitals Log'!B:B,"&lt;="&amp;B13+6)-SUMIFS('📅 Daily Vitals Log'!J:J,'📅 Daily Vitals Log'!B:B,"&gt;="&amp;B13,'📅 Daily Vitals Log'!B:B,"&lt;="&amp;B13+6),""))</f>
        <v/>
      </c>
      <c r="M13" s="13" t="str">
        <f>IF(B13="","",COUNTIFS('📅 Daily Vitals Log'!B:B,"&gt;="&amp;B13,'📅 Daily Vitals Log'!B:B,"&lt;="&amp;B13+6,'📅 Daily Vitals Log'!F:F,"&lt;94"))</f>
        <v/>
      </c>
      <c r="N13" s="13" t="str">
        <f>IF(B13="","",SUMPRODUCT(('📅 Daily Vitals Log'!$B$4:$B$113&gt;=B13)*('📅 Daily Vitals Log'!$B$4:$B$113&lt;=B13+6)*('📅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13" s="8"/>
    </row>
    <row r="14" spans="2:15" ht="19.5" customHeight="1" x14ac:dyDescent="0.25">
      <c r="B14" s="9" t="str">
        <f>IF(B13="","",IF(B13+7&gt;MAX('📅 Daily Vitals Log'!$B$4:$B$113),"",B13+7))</f>
        <v/>
      </c>
      <c r="C14" s="9" t="str">
        <f t="shared" si="0"/>
        <v/>
      </c>
      <c r="D14" s="10" t="str">
        <f>IF(B14="","",IFERROR(ROUND(AVERAGEIFS('📅 Daily Vitals Log'!C:C,'📅 Daily Vitals Log'!B:B,"&gt;="&amp;B14,'📅 Daily Vitals Log'!B:B,"&lt;="&amp;B14+6),1),""))</f>
        <v/>
      </c>
      <c r="E14" s="10" t="str">
        <f>IF(B14="","",IFERROR(ROUND(AVERAGEIFS('📅 Daily Vitals Log'!D:D,'📅 Daily Vitals Log'!B:B,"&gt;="&amp;B14,'📅 Daily Vitals Log'!B:B,"&lt;="&amp;B14+6),1),""))</f>
        <v/>
      </c>
      <c r="F14" s="10" t="str">
        <f>IF(B14="","",IFERROR(ROUND(AVERAGEIFS('📅 Daily Vitals Log'!E:E,'📅 Daily Vitals Log'!B:B,"&gt;="&amp;B14,'📅 Daily Vitals Log'!B:B,"&lt;="&amp;B14+6),1),""))</f>
        <v/>
      </c>
      <c r="G14" s="10" t="str">
        <f>IF(B14="","",IFERROR(ROUND(AVERAGEIFS('📅 Daily Vitals Log'!F:F,'📅 Daily Vitals Log'!B:B,"&gt;="&amp;B14,'📅 Daily Vitals Log'!B:B,"&lt;="&amp;B14+6),1),""))</f>
        <v/>
      </c>
      <c r="H14" s="11" t="str">
        <f>IF(B14="","",IFERROR(ROUND(AVERAGEIFS('📅 Daily Vitals Log'!H:H,'📅 Daily Vitals Log'!B:B,"&gt;="&amp;B14,'📅 Daily Vitals Log'!B:B,"&lt;="&amp;B14+6),2),""))</f>
        <v/>
      </c>
      <c r="I14" s="12" t="str">
        <f>IF(B14="","",IFERROR(ROUND(AVERAGEIFS('📅 Daily Vitals Log'!I:I,'📅 Daily Vitals Log'!B:B,"&gt;="&amp;B14,'📅 Daily Vitals Log'!B:B,"&lt;="&amp;B14+6),0),""))</f>
        <v/>
      </c>
      <c r="J14" s="12" t="str">
        <f>IF(B14="","",IFERROR(ROUND(AVERAGEIFS('📅 Daily Vitals Log'!J:J,'📅 Daily Vitals Log'!B:B,"&gt;="&amp;B14,'📅 Daily Vitals Log'!B:B,"&lt;="&amp;B14+6),0),""))</f>
        <v/>
      </c>
      <c r="K14" s="12" t="str">
        <f>IF(B14="","",IFERROR(ROUND(AVERAGEIFS('📅 Daily Vitals Log'!M:M,'📅 Daily Vitals Log'!B:B,"&gt;="&amp;B14,'📅 Daily Vitals Log'!B:B,"&lt;="&amp;B14+6),0),""))</f>
        <v/>
      </c>
      <c r="L14" s="12" t="str">
        <f>IF(B14="","",IFERROR(SUMIFS('📅 Daily Vitals Log'!I:I,'📅 Daily Vitals Log'!B:B,"&gt;="&amp;B14,'📅 Daily Vitals Log'!B:B,"&lt;="&amp;B14+6)-SUMIFS('📅 Daily Vitals Log'!J:J,'📅 Daily Vitals Log'!B:B,"&gt;="&amp;B14,'📅 Daily Vitals Log'!B:B,"&lt;="&amp;B14+6),""))</f>
        <v/>
      </c>
      <c r="M14" s="13" t="str">
        <f>IF(B14="","",COUNTIFS('📅 Daily Vitals Log'!B:B,"&gt;="&amp;B14,'📅 Daily Vitals Log'!B:B,"&lt;="&amp;B14+6,'📅 Daily Vitals Log'!F:F,"&lt;94"))</f>
        <v/>
      </c>
      <c r="N14" s="13" t="str">
        <f>IF(B14="","",SUMPRODUCT(('📅 Daily Vitals Log'!$B$4:$B$113&gt;=B14)*('📅 Daily Vitals Log'!$B$4:$B$113&lt;=B14+6)*('📅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14" s="8"/>
    </row>
    <row r="15" spans="2:15" ht="19.5" customHeight="1" x14ac:dyDescent="0.25">
      <c r="B15" s="9" t="str">
        <f>IF(B14="","",IF(B14+7&gt;MAX('📅 Daily Vitals Log'!$B$4:$B$113),"",B14+7))</f>
        <v/>
      </c>
      <c r="C15" s="9" t="str">
        <f t="shared" si="0"/>
        <v/>
      </c>
      <c r="D15" s="10" t="str">
        <f>IF(B15="","",IFERROR(ROUND(AVERAGEIFS('📅 Daily Vitals Log'!C:C,'📅 Daily Vitals Log'!B:B,"&gt;="&amp;B15,'📅 Daily Vitals Log'!B:B,"&lt;="&amp;B15+6),1),""))</f>
        <v/>
      </c>
      <c r="E15" s="10" t="str">
        <f>IF(B15="","",IFERROR(ROUND(AVERAGEIFS('📅 Daily Vitals Log'!D:D,'📅 Daily Vitals Log'!B:B,"&gt;="&amp;B15,'📅 Daily Vitals Log'!B:B,"&lt;="&amp;B15+6),1),""))</f>
        <v/>
      </c>
      <c r="F15" s="10" t="str">
        <f>IF(B15="","",IFERROR(ROUND(AVERAGEIFS('📅 Daily Vitals Log'!E:E,'📅 Daily Vitals Log'!B:B,"&gt;="&amp;B15,'📅 Daily Vitals Log'!B:B,"&lt;="&amp;B15+6),1),""))</f>
        <v/>
      </c>
      <c r="G15" s="10" t="str">
        <f>IF(B15="","",IFERROR(ROUND(AVERAGEIFS('📅 Daily Vitals Log'!F:F,'📅 Daily Vitals Log'!B:B,"&gt;="&amp;B15,'📅 Daily Vitals Log'!B:B,"&lt;="&amp;B15+6),1),""))</f>
        <v/>
      </c>
      <c r="H15" s="11" t="str">
        <f>IF(B15="","",IFERROR(ROUND(AVERAGEIFS('📅 Daily Vitals Log'!H:H,'📅 Daily Vitals Log'!B:B,"&gt;="&amp;B15,'📅 Daily Vitals Log'!B:B,"&lt;="&amp;B15+6),2),""))</f>
        <v/>
      </c>
      <c r="I15" s="12" t="str">
        <f>IF(B15="","",IFERROR(ROUND(AVERAGEIFS('📅 Daily Vitals Log'!I:I,'📅 Daily Vitals Log'!B:B,"&gt;="&amp;B15,'📅 Daily Vitals Log'!B:B,"&lt;="&amp;B15+6),0),""))</f>
        <v/>
      </c>
      <c r="J15" s="12" t="str">
        <f>IF(B15="","",IFERROR(ROUND(AVERAGEIFS('📅 Daily Vitals Log'!J:J,'📅 Daily Vitals Log'!B:B,"&gt;="&amp;B15,'📅 Daily Vitals Log'!B:B,"&lt;="&amp;B15+6),0),""))</f>
        <v/>
      </c>
      <c r="K15" s="12" t="str">
        <f>IF(B15="","",IFERROR(ROUND(AVERAGEIFS('📅 Daily Vitals Log'!M:M,'📅 Daily Vitals Log'!B:B,"&gt;="&amp;B15,'📅 Daily Vitals Log'!B:B,"&lt;="&amp;B15+6),0),""))</f>
        <v/>
      </c>
      <c r="L15" s="12" t="str">
        <f>IF(B15="","",IFERROR(SUMIFS('📅 Daily Vitals Log'!I:I,'📅 Daily Vitals Log'!B:B,"&gt;="&amp;B15,'📅 Daily Vitals Log'!B:B,"&lt;="&amp;B15+6)-SUMIFS('📅 Daily Vitals Log'!J:J,'📅 Daily Vitals Log'!B:B,"&gt;="&amp;B15,'📅 Daily Vitals Log'!B:B,"&lt;="&amp;B15+6),""))</f>
        <v/>
      </c>
      <c r="M15" s="13" t="str">
        <f>IF(B15="","",COUNTIFS('📅 Daily Vitals Log'!B:B,"&gt;="&amp;B15,'📅 Daily Vitals Log'!B:B,"&lt;="&amp;B15+6,'📅 Daily Vitals Log'!F:F,"&lt;94"))</f>
        <v/>
      </c>
      <c r="N15" s="13" t="str">
        <f>IF(B15="","",SUMPRODUCT(('📅 Daily Vitals Log'!$B$4:$B$113&gt;=B15)*('📅 Daily Vitals Log'!$B$4:$B$113&lt;=B15+6)*('📅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15" s="8"/>
    </row>
    <row r="16" spans="2:15" ht="19.5" customHeight="1" x14ac:dyDescent="0.25">
      <c r="B16" s="9" t="str">
        <f>IF(B15="","",IF(B15+7&gt;MAX('📅 Daily Vitals Log'!$B$4:$B$113),"",B15+7))</f>
        <v/>
      </c>
      <c r="C16" s="9" t="str">
        <f t="shared" si="0"/>
        <v/>
      </c>
      <c r="D16" s="10" t="str">
        <f>IF(B16="","",IFERROR(ROUND(AVERAGEIFS('📅 Daily Vitals Log'!C:C,'📅 Daily Vitals Log'!B:B,"&gt;="&amp;B16,'📅 Daily Vitals Log'!B:B,"&lt;="&amp;B16+6),1),""))</f>
        <v/>
      </c>
      <c r="E16" s="10" t="str">
        <f>IF(B16="","",IFERROR(ROUND(AVERAGEIFS('📅 Daily Vitals Log'!D:D,'📅 Daily Vitals Log'!B:B,"&gt;="&amp;B16,'📅 Daily Vitals Log'!B:B,"&lt;="&amp;B16+6),1),""))</f>
        <v/>
      </c>
      <c r="F16" s="10" t="str">
        <f>IF(B16="","",IFERROR(ROUND(AVERAGEIFS('📅 Daily Vitals Log'!E:E,'📅 Daily Vitals Log'!B:B,"&gt;="&amp;B16,'📅 Daily Vitals Log'!B:B,"&lt;="&amp;B16+6),1),""))</f>
        <v/>
      </c>
      <c r="G16" s="10" t="str">
        <f>IF(B16="","",IFERROR(ROUND(AVERAGEIFS('📅 Daily Vitals Log'!F:F,'📅 Daily Vitals Log'!B:B,"&gt;="&amp;B16,'📅 Daily Vitals Log'!B:B,"&lt;="&amp;B16+6),1),""))</f>
        <v/>
      </c>
      <c r="H16" s="11" t="str">
        <f>IF(B16="","",IFERROR(ROUND(AVERAGEIFS('📅 Daily Vitals Log'!H:H,'📅 Daily Vitals Log'!B:B,"&gt;="&amp;B16,'📅 Daily Vitals Log'!B:B,"&lt;="&amp;B16+6),2),""))</f>
        <v/>
      </c>
      <c r="I16" s="12" t="str">
        <f>IF(B16="","",IFERROR(ROUND(AVERAGEIFS('📅 Daily Vitals Log'!I:I,'📅 Daily Vitals Log'!B:B,"&gt;="&amp;B16,'📅 Daily Vitals Log'!B:B,"&lt;="&amp;B16+6),0),""))</f>
        <v/>
      </c>
      <c r="J16" s="12" t="str">
        <f>IF(B16="","",IFERROR(ROUND(AVERAGEIFS('📅 Daily Vitals Log'!J:J,'📅 Daily Vitals Log'!B:B,"&gt;="&amp;B16,'📅 Daily Vitals Log'!B:B,"&lt;="&amp;B16+6),0),""))</f>
        <v/>
      </c>
      <c r="K16" s="12" t="str">
        <f>IF(B16="","",IFERROR(ROUND(AVERAGEIFS('📅 Daily Vitals Log'!M:M,'📅 Daily Vitals Log'!B:B,"&gt;="&amp;B16,'📅 Daily Vitals Log'!B:B,"&lt;="&amp;B16+6),0),""))</f>
        <v/>
      </c>
      <c r="L16" s="12" t="str">
        <f>IF(B16="","",IFERROR(SUMIFS('📅 Daily Vitals Log'!I:I,'📅 Daily Vitals Log'!B:B,"&gt;="&amp;B16,'📅 Daily Vitals Log'!B:B,"&lt;="&amp;B16+6)-SUMIFS('📅 Daily Vitals Log'!J:J,'📅 Daily Vitals Log'!B:B,"&gt;="&amp;B16,'📅 Daily Vitals Log'!B:B,"&lt;="&amp;B16+6),""))</f>
        <v/>
      </c>
      <c r="M16" s="13" t="str">
        <f>IF(B16="","",COUNTIFS('📅 Daily Vitals Log'!B:B,"&gt;="&amp;B16,'📅 Daily Vitals Log'!B:B,"&lt;="&amp;B16+6,'📅 Daily Vitals Log'!F:F,"&lt;94"))</f>
        <v/>
      </c>
      <c r="N16" s="13" t="str">
        <f>IF(B16="","",SUMPRODUCT(('📅 Daily Vitals Log'!$B$4:$B$113&gt;=B16)*('📅 Daily Vitals Log'!$B$4:$B$113&lt;=B16+6)*('📅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16" s="8"/>
    </row>
    <row r="17" spans="2:15" ht="19.5" customHeight="1" x14ac:dyDescent="0.25">
      <c r="B17" s="9" t="str">
        <f>IF(B16="","",IF(B16+7&gt;MAX('📅 Daily Vitals Log'!$B$4:$B$113),"",B16+7))</f>
        <v/>
      </c>
      <c r="C17" s="9" t="str">
        <f t="shared" si="0"/>
        <v/>
      </c>
      <c r="D17" s="10" t="str">
        <f>IF(B17="","",IFERROR(ROUND(AVERAGEIFS('📅 Daily Vitals Log'!C:C,'📅 Daily Vitals Log'!B:B,"&gt;="&amp;B17,'📅 Daily Vitals Log'!B:B,"&lt;="&amp;B17+6),1),""))</f>
        <v/>
      </c>
      <c r="E17" s="10" t="str">
        <f>IF(B17="","",IFERROR(ROUND(AVERAGEIFS('📅 Daily Vitals Log'!D:D,'📅 Daily Vitals Log'!B:B,"&gt;="&amp;B17,'📅 Daily Vitals Log'!B:B,"&lt;="&amp;B17+6),1),""))</f>
        <v/>
      </c>
      <c r="F17" s="10" t="str">
        <f>IF(B17="","",IFERROR(ROUND(AVERAGEIFS('📅 Daily Vitals Log'!E:E,'📅 Daily Vitals Log'!B:B,"&gt;="&amp;B17,'📅 Daily Vitals Log'!B:B,"&lt;="&amp;B17+6),1),""))</f>
        <v/>
      </c>
      <c r="G17" s="10" t="str">
        <f>IF(B17="","",IFERROR(ROUND(AVERAGEIFS('📅 Daily Vitals Log'!F:F,'📅 Daily Vitals Log'!B:B,"&gt;="&amp;B17,'📅 Daily Vitals Log'!B:B,"&lt;="&amp;B17+6),1),""))</f>
        <v/>
      </c>
      <c r="H17" s="11" t="str">
        <f>IF(B17="","",IFERROR(ROUND(AVERAGEIFS('📅 Daily Vitals Log'!H:H,'📅 Daily Vitals Log'!B:B,"&gt;="&amp;B17,'📅 Daily Vitals Log'!B:B,"&lt;="&amp;B17+6),2),""))</f>
        <v/>
      </c>
      <c r="I17" s="12" t="str">
        <f>IF(B17="","",IFERROR(ROUND(AVERAGEIFS('📅 Daily Vitals Log'!I:I,'📅 Daily Vitals Log'!B:B,"&gt;="&amp;B17,'📅 Daily Vitals Log'!B:B,"&lt;="&amp;B17+6),0),""))</f>
        <v/>
      </c>
      <c r="J17" s="12" t="str">
        <f>IF(B17="","",IFERROR(ROUND(AVERAGEIFS('📅 Daily Vitals Log'!J:J,'📅 Daily Vitals Log'!B:B,"&gt;="&amp;B17,'📅 Daily Vitals Log'!B:B,"&lt;="&amp;B17+6),0),""))</f>
        <v/>
      </c>
      <c r="K17" s="12" t="str">
        <f>IF(B17="","",IFERROR(ROUND(AVERAGEIFS('📅 Daily Vitals Log'!M:M,'📅 Daily Vitals Log'!B:B,"&gt;="&amp;B17,'📅 Daily Vitals Log'!B:B,"&lt;="&amp;B17+6),0),""))</f>
        <v/>
      </c>
      <c r="L17" s="12" t="str">
        <f>IF(B17="","",IFERROR(SUMIFS('📅 Daily Vitals Log'!I:I,'📅 Daily Vitals Log'!B:B,"&gt;="&amp;B17,'📅 Daily Vitals Log'!B:B,"&lt;="&amp;B17+6)-SUMIFS('📅 Daily Vitals Log'!J:J,'📅 Daily Vitals Log'!B:B,"&gt;="&amp;B17,'📅 Daily Vitals Log'!B:B,"&lt;="&amp;B17+6),""))</f>
        <v/>
      </c>
      <c r="M17" s="13" t="str">
        <f>IF(B17="","",COUNTIFS('📅 Daily Vitals Log'!B:B,"&gt;="&amp;B17,'📅 Daily Vitals Log'!B:B,"&lt;="&amp;B17+6,'📅 Daily Vitals Log'!F:F,"&lt;94"))</f>
        <v/>
      </c>
      <c r="N17" s="13" t="str">
        <f>IF(B17="","",SUMPRODUCT(('📅 Daily Vitals Log'!$B$4:$B$113&gt;=B17)*('📅 Daily Vitals Log'!$B$4:$B$113&lt;=B17+6)*('📅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17" s="8"/>
    </row>
    <row r="18" spans="2:15" ht="19.5" customHeight="1" x14ac:dyDescent="0.25">
      <c r="B18" s="9" t="str">
        <f>IF(B17="","",IF(B17+7&gt;MAX('📅 Daily Vitals Log'!$B$4:$B$113),"",B17+7))</f>
        <v/>
      </c>
      <c r="C18" s="9" t="str">
        <f t="shared" si="0"/>
        <v/>
      </c>
      <c r="D18" s="10" t="str">
        <f>IF(B18="","",IFERROR(ROUND(AVERAGEIFS('📅 Daily Vitals Log'!C:C,'📅 Daily Vitals Log'!B:B,"&gt;="&amp;B18,'📅 Daily Vitals Log'!B:B,"&lt;="&amp;B18+6),1),""))</f>
        <v/>
      </c>
      <c r="E18" s="10" t="str">
        <f>IF(B18="","",IFERROR(ROUND(AVERAGEIFS('📅 Daily Vitals Log'!D:D,'📅 Daily Vitals Log'!B:B,"&gt;="&amp;B18,'📅 Daily Vitals Log'!B:B,"&lt;="&amp;B18+6),1),""))</f>
        <v/>
      </c>
      <c r="F18" s="10" t="str">
        <f>IF(B18="","",IFERROR(ROUND(AVERAGEIFS('📅 Daily Vitals Log'!E:E,'📅 Daily Vitals Log'!B:B,"&gt;="&amp;B18,'📅 Daily Vitals Log'!B:B,"&lt;="&amp;B18+6),1),""))</f>
        <v/>
      </c>
      <c r="G18" s="10" t="str">
        <f>IF(B18="","",IFERROR(ROUND(AVERAGEIFS('📅 Daily Vitals Log'!F:F,'📅 Daily Vitals Log'!B:B,"&gt;="&amp;B18,'📅 Daily Vitals Log'!B:B,"&lt;="&amp;B18+6),1),""))</f>
        <v/>
      </c>
      <c r="H18" s="11" t="str">
        <f>IF(B18="","",IFERROR(ROUND(AVERAGEIFS('📅 Daily Vitals Log'!H:H,'📅 Daily Vitals Log'!B:B,"&gt;="&amp;B18,'📅 Daily Vitals Log'!B:B,"&lt;="&amp;B18+6),2),""))</f>
        <v/>
      </c>
      <c r="I18" s="12" t="str">
        <f>IF(B18="","",IFERROR(ROUND(AVERAGEIFS('📅 Daily Vitals Log'!I:I,'📅 Daily Vitals Log'!B:B,"&gt;="&amp;B18,'📅 Daily Vitals Log'!B:B,"&lt;="&amp;B18+6),0),""))</f>
        <v/>
      </c>
      <c r="J18" s="12" t="str">
        <f>IF(B18="","",IFERROR(ROUND(AVERAGEIFS('📅 Daily Vitals Log'!J:J,'📅 Daily Vitals Log'!B:B,"&gt;="&amp;B18,'📅 Daily Vitals Log'!B:B,"&lt;="&amp;B18+6),0),""))</f>
        <v/>
      </c>
      <c r="K18" s="12" t="str">
        <f>IF(B18="","",IFERROR(ROUND(AVERAGEIFS('📅 Daily Vitals Log'!M:M,'📅 Daily Vitals Log'!B:B,"&gt;="&amp;B18,'📅 Daily Vitals Log'!B:B,"&lt;="&amp;B18+6),0),""))</f>
        <v/>
      </c>
      <c r="L18" s="12" t="str">
        <f>IF(B18="","",IFERROR(SUMIFS('📅 Daily Vitals Log'!I:I,'📅 Daily Vitals Log'!B:B,"&gt;="&amp;B18,'📅 Daily Vitals Log'!B:B,"&lt;="&amp;B18+6)-SUMIFS('📅 Daily Vitals Log'!J:J,'📅 Daily Vitals Log'!B:B,"&gt;="&amp;B18,'📅 Daily Vitals Log'!B:B,"&lt;="&amp;B18+6),""))</f>
        <v/>
      </c>
      <c r="M18" s="13" t="str">
        <f>IF(B18="","",COUNTIFS('📅 Daily Vitals Log'!B:B,"&gt;="&amp;B18,'📅 Daily Vitals Log'!B:B,"&lt;="&amp;B18+6,'📅 Daily Vitals Log'!F:F,"&lt;94"))</f>
        <v/>
      </c>
      <c r="N18" s="13" t="str">
        <f>IF(B18="","",SUMPRODUCT(('📅 Daily Vitals Log'!$B$4:$B$113&gt;=B18)*('📅 Daily Vitals Log'!$B$4:$B$113&lt;=B18+6)*('📅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18" s="8"/>
    </row>
    <row r="19" spans="2:15" ht="19.5" customHeight="1" x14ac:dyDescent="0.25">
      <c r="B19" s="9" t="str">
        <f>IF(B18="","",IF(B18+7&gt;MAX('📅 Daily Vitals Log'!$B$4:$B$113),"",B18+7))</f>
        <v/>
      </c>
      <c r="C19" s="9" t="str">
        <f t="shared" si="0"/>
        <v/>
      </c>
      <c r="D19" s="10" t="str">
        <f>IF(B19="","",IFERROR(ROUND(AVERAGEIFS('📅 Daily Vitals Log'!C:C,'📅 Daily Vitals Log'!B:B,"&gt;="&amp;B19,'📅 Daily Vitals Log'!B:B,"&lt;="&amp;B19+6),1),""))</f>
        <v/>
      </c>
      <c r="E19" s="10" t="str">
        <f>IF(B19="","",IFERROR(ROUND(AVERAGEIFS('📅 Daily Vitals Log'!D:D,'📅 Daily Vitals Log'!B:B,"&gt;="&amp;B19,'📅 Daily Vitals Log'!B:B,"&lt;="&amp;B19+6),1),""))</f>
        <v/>
      </c>
      <c r="F19" s="10" t="str">
        <f>IF(B19="","",IFERROR(ROUND(AVERAGEIFS('📅 Daily Vitals Log'!E:E,'📅 Daily Vitals Log'!B:B,"&gt;="&amp;B19,'📅 Daily Vitals Log'!B:B,"&lt;="&amp;B19+6),1),""))</f>
        <v/>
      </c>
      <c r="G19" s="10" t="str">
        <f>IF(B19="","",IFERROR(ROUND(AVERAGEIFS('📅 Daily Vitals Log'!F:F,'📅 Daily Vitals Log'!B:B,"&gt;="&amp;B19,'📅 Daily Vitals Log'!B:B,"&lt;="&amp;B19+6),1),""))</f>
        <v/>
      </c>
      <c r="H19" s="11" t="str">
        <f>IF(B19="","",IFERROR(ROUND(AVERAGEIFS('📅 Daily Vitals Log'!H:H,'📅 Daily Vitals Log'!B:B,"&gt;="&amp;B19,'📅 Daily Vitals Log'!B:B,"&lt;="&amp;B19+6),2),""))</f>
        <v/>
      </c>
      <c r="I19" s="12" t="str">
        <f>IF(B19="","",IFERROR(ROUND(AVERAGEIFS('📅 Daily Vitals Log'!I:I,'📅 Daily Vitals Log'!B:B,"&gt;="&amp;B19,'📅 Daily Vitals Log'!B:B,"&lt;="&amp;B19+6),0),""))</f>
        <v/>
      </c>
      <c r="J19" s="12" t="str">
        <f>IF(B19="","",IFERROR(ROUND(AVERAGEIFS('📅 Daily Vitals Log'!J:J,'📅 Daily Vitals Log'!B:B,"&gt;="&amp;B19,'📅 Daily Vitals Log'!B:B,"&lt;="&amp;B19+6),0),""))</f>
        <v/>
      </c>
      <c r="K19" s="12" t="str">
        <f>IF(B19="","",IFERROR(ROUND(AVERAGEIFS('📅 Daily Vitals Log'!M:M,'📅 Daily Vitals Log'!B:B,"&gt;="&amp;B19,'📅 Daily Vitals Log'!B:B,"&lt;="&amp;B19+6),0),""))</f>
        <v/>
      </c>
      <c r="L19" s="12" t="str">
        <f>IF(B19="","",IFERROR(SUMIFS('📅 Daily Vitals Log'!I:I,'📅 Daily Vitals Log'!B:B,"&gt;="&amp;B19,'📅 Daily Vitals Log'!B:B,"&lt;="&amp;B19+6)-SUMIFS('📅 Daily Vitals Log'!J:J,'📅 Daily Vitals Log'!B:B,"&gt;="&amp;B19,'📅 Daily Vitals Log'!B:B,"&lt;="&amp;B19+6),""))</f>
        <v/>
      </c>
      <c r="M19" s="13" t="str">
        <f>IF(B19="","",COUNTIFS('📅 Daily Vitals Log'!B:B,"&gt;="&amp;B19,'📅 Daily Vitals Log'!B:B,"&lt;="&amp;B19+6,'📅 Daily Vitals Log'!F:F,"&lt;94"))</f>
        <v/>
      </c>
      <c r="N19" s="13" t="str">
        <f>IF(B19="","",SUMPRODUCT(('📅 Daily Vitals Log'!$B$4:$B$113&gt;=B19)*('📅 Daily Vitals Log'!$B$4:$B$113&lt;=B19+6)*('📅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19" s="8"/>
    </row>
    <row r="20" spans="2:15" ht="19.5" customHeight="1" x14ac:dyDescent="0.25">
      <c r="B20" s="9" t="str">
        <f>IF(B19="","",IF(B19+7&gt;MAX('📅 Daily Vitals Log'!$B$4:$B$113),"",B19+7))</f>
        <v/>
      </c>
      <c r="C20" s="9" t="str">
        <f t="shared" si="0"/>
        <v/>
      </c>
      <c r="D20" s="10" t="str">
        <f>IF(B20="","",IFERROR(ROUND(AVERAGEIFS('📅 Daily Vitals Log'!C:C,'📅 Daily Vitals Log'!B:B,"&gt;="&amp;B20,'📅 Daily Vitals Log'!B:B,"&lt;="&amp;B20+6),1),""))</f>
        <v/>
      </c>
      <c r="E20" s="10" t="str">
        <f>IF(B20="","",IFERROR(ROUND(AVERAGEIFS('📅 Daily Vitals Log'!D:D,'📅 Daily Vitals Log'!B:B,"&gt;="&amp;B20,'📅 Daily Vitals Log'!B:B,"&lt;="&amp;B20+6),1),""))</f>
        <v/>
      </c>
      <c r="F20" s="10" t="str">
        <f>IF(B20="","",IFERROR(ROUND(AVERAGEIFS('📅 Daily Vitals Log'!E:E,'📅 Daily Vitals Log'!B:B,"&gt;="&amp;B20,'📅 Daily Vitals Log'!B:B,"&lt;="&amp;B20+6),1),""))</f>
        <v/>
      </c>
      <c r="G20" s="10" t="str">
        <f>IF(B20="","",IFERROR(ROUND(AVERAGEIFS('📅 Daily Vitals Log'!F:F,'📅 Daily Vitals Log'!B:B,"&gt;="&amp;B20,'📅 Daily Vitals Log'!B:B,"&lt;="&amp;B20+6),1),""))</f>
        <v/>
      </c>
      <c r="H20" s="11" t="str">
        <f>IF(B20="","",IFERROR(ROUND(AVERAGEIFS('📅 Daily Vitals Log'!H:H,'📅 Daily Vitals Log'!B:B,"&gt;="&amp;B20,'📅 Daily Vitals Log'!B:B,"&lt;="&amp;B20+6),2),""))</f>
        <v/>
      </c>
      <c r="I20" s="12" t="str">
        <f>IF(B20="","",IFERROR(ROUND(AVERAGEIFS('📅 Daily Vitals Log'!I:I,'📅 Daily Vitals Log'!B:B,"&gt;="&amp;B20,'📅 Daily Vitals Log'!B:B,"&lt;="&amp;B20+6),0),""))</f>
        <v/>
      </c>
      <c r="J20" s="12" t="str">
        <f>IF(B20="","",IFERROR(ROUND(AVERAGEIFS('📅 Daily Vitals Log'!J:J,'📅 Daily Vitals Log'!B:B,"&gt;="&amp;B20,'📅 Daily Vitals Log'!B:B,"&lt;="&amp;B20+6),0),""))</f>
        <v/>
      </c>
      <c r="K20" s="12" t="str">
        <f>IF(B20="","",IFERROR(ROUND(AVERAGEIFS('📅 Daily Vitals Log'!M:M,'📅 Daily Vitals Log'!B:B,"&gt;="&amp;B20,'📅 Daily Vitals Log'!B:B,"&lt;="&amp;B20+6),0),""))</f>
        <v/>
      </c>
      <c r="L20" s="12" t="str">
        <f>IF(B20="","",IFERROR(SUMIFS('📅 Daily Vitals Log'!I:I,'📅 Daily Vitals Log'!B:B,"&gt;="&amp;B20,'📅 Daily Vitals Log'!B:B,"&lt;="&amp;B20+6)-SUMIFS('📅 Daily Vitals Log'!J:J,'📅 Daily Vitals Log'!B:B,"&gt;="&amp;B20,'📅 Daily Vitals Log'!B:B,"&lt;="&amp;B20+6),""))</f>
        <v/>
      </c>
      <c r="M20" s="13" t="str">
        <f>IF(B20="","",COUNTIFS('📅 Daily Vitals Log'!B:B,"&gt;="&amp;B20,'📅 Daily Vitals Log'!B:B,"&lt;="&amp;B20+6,'📅 Daily Vitals Log'!F:F,"&lt;94"))</f>
        <v/>
      </c>
      <c r="N20" s="13" t="str">
        <f>IF(B20="","",SUMPRODUCT(('📅 Daily Vitals Log'!$B$4:$B$113&gt;=B20)*('📅 Daily Vitals Log'!$B$4:$B$113&lt;=B20+6)*('📅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20" s="8"/>
    </row>
    <row r="21" spans="2:15" ht="19.5" customHeight="1" x14ac:dyDescent="0.25">
      <c r="B21" s="9" t="str">
        <f>IF(B20="","",IF(B20+7&gt;MAX('📅 Daily Vitals Log'!$B$4:$B$113),"",B20+7))</f>
        <v/>
      </c>
      <c r="C21" s="9" t="str">
        <f t="shared" si="0"/>
        <v/>
      </c>
      <c r="D21" s="10" t="str">
        <f>IF(B21="","",IFERROR(ROUND(AVERAGEIFS('📅 Daily Vitals Log'!C:C,'📅 Daily Vitals Log'!B:B,"&gt;="&amp;B21,'📅 Daily Vitals Log'!B:B,"&lt;="&amp;B21+6),1),""))</f>
        <v/>
      </c>
      <c r="E21" s="10" t="str">
        <f>IF(B21="","",IFERROR(ROUND(AVERAGEIFS('📅 Daily Vitals Log'!D:D,'📅 Daily Vitals Log'!B:B,"&gt;="&amp;B21,'📅 Daily Vitals Log'!B:B,"&lt;="&amp;B21+6),1),""))</f>
        <v/>
      </c>
      <c r="F21" s="10" t="str">
        <f>IF(B21="","",IFERROR(ROUND(AVERAGEIFS('📅 Daily Vitals Log'!E:E,'📅 Daily Vitals Log'!B:B,"&gt;="&amp;B21,'📅 Daily Vitals Log'!B:B,"&lt;="&amp;B21+6),1),""))</f>
        <v/>
      </c>
      <c r="G21" s="10" t="str">
        <f>IF(B21="","",IFERROR(ROUND(AVERAGEIFS('📅 Daily Vitals Log'!F:F,'📅 Daily Vitals Log'!B:B,"&gt;="&amp;B21,'📅 Daily Vitals Log'!B:B,"&lt;="&amp;B21+6),1),""))</f>
        <v/>
      </c>
      <c r="H21" s="11" t="str">
        <f>IF(B21="","",IFERROR(ROUND(AVERAGEIFS('📅 Daily Vitals Log'!H:H,'📅 Daily Vitals Log'!B:B,"&gt;="&amp;B21,'📅 Daily Vitals Log'!B:B,"&lt;="&amp;B21+6),2),""))</f>
        <v/>
      </c>
      <c r="I21" s="12" t="str">
        <f>IF(B21="","",IFERROR(ROUND(AVERAGEIFS('📅 Daily Vitals Log'!I:I,'📅 Daily Vitals Log'!B:B,"&gt;="&amp;B21,'📅 Daily Vitals Log'!B:B,"&lt;="&amp;B21+6),0),""))</f>
        <v/>
      </c>
      <c r="J21" s="12" t="str">
        <f>IF(B21="","",IFERROR(ROUND(AVERAGEIFS('📅 Daily Vitals Log'!J:J,'📅 Daily Vitals Log'!B:B,"&gt;="&amp;B21,'📅 Daily Vitals Log'!B:B,"&lt;="&amp;B21+6),0),""))</f>
        <v/>
      </c>
      <c r="K21" s="12" t="str">
        <f>IF(B21="","",IFERROR(ROUND(AVERAGEIFS('📅 Daily Vitals Log'!M:M,'📅 Daily Vitals Log'!B:B,"&gt;="&amp;B21,'📅 Daily Vitals Log'!B:B,"&lt;="&amp;B21+6),0),""))</f>
        <v/>
      </c>
      <c r="L21" s="12" t="str">
        <f>IF(B21="","",IFERROR(SUMIFS('📅 Daily Vitals Log'!I:I,'📅 Daily Vitals Log'!B:B,"&gt;="&amp;B21,'📅 Daily Vitals Log'!B:B,"&lt;="&amp;B21+6)-SUMIFS('📅 Daily Vitals Log'!J:J,'📅 Daily Vitals Log'!B:B,"&gt;="&amp;B21,'📅 Daily Vitals Log'!B:B,"&lt;="&amp;B21+6),""))</f>
        <v/>
      </c>
      <c r="M21" s="13" t="str">
        <f>IF(B21="","",COUNTIFS('📅 Daily Vitals Log'!B:B,"&gt;="&amp;B21,'📅 Daily Vitals Log'!B:B,"&lt;="&amp;B21+6,'📅 Daily Vitals Log'!F:F,"&lt;94"))</f>
        <v/>
      </c>
      <c r="N21" s="13" t="str">
        <f>IF(B21="","",SUMPRODUCT(('📅 Daily Vitals Log'!$B$4:$B$113&gt;=B21)*('📅 Daily Vitals Log'!$B$4:$B$113&lt;=B21+6)*('📅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21" s="8"/>
    </row>
    <row r="22" spans="2:15" ht="19.5" customHeight="1" x14ac:dyDescent="0.25">
      <c r="B22" s="9" t="str">
        <f>IF(B21="","",IF(B21+7&gt;MAX('📅 Daily Vitals Log'!$B$4:$B$113),"",B21+7))</f>
        <v/>
      </c>
      <c r="C22" s="9" t="str">
        <f t="shared" si="0"/>
        <v/>
      </c>
      <c r="D22" s="10" t="str">
        <f>IF(B22="","",IFERROR(ROUND(AVERAGEIFS('📅 Daily Vitals Log'!C:C,'📅 Daily Vitals Log'!B:B,"&gt;="&amp;B22,'📅 Daily Vitals Log'!B:B,"&lt;="&amp;B22+6),1),""))</f>
        <v/>
      </c>
      <c r="E22" s="10" t="str">
        <f>IF(B22="","",IFERROR(ROUND(AVERAGEIFS('📅 Daily Vitals Log'!D:D,'📅 Daily Vitals Log'!B:B,"&gt;="&amp;B22,'📅 Daily Vitals Log'!B:B,"&lt;="&amp;B22+6),1),""))</f>
        <v/>
      </c>
      <c r="F22" s="10" t="str">
        <f>IF(B22="","",IFERROR(ROUND(AVERAGEIFS('📅 Daily Vitals Log'!E:E,'📅 Daily Vitals Log'!B:B,"&gt;="&amp;B22,'📅 Daily Vitals Log'!B:B,"&lt;="&amp;B22+6),1),""))</f>
        <v/>
      </c>
      <c r="G22" s="10" t="str">
        <f>IF(B22="","",IFERROR(ROUND(AVERAGEIFS('📅 Daily Vitals Log'!F:F,'📅 Daily Vitals Log'!B:B,"&gt;="&amp;B22,'📅 Daily Vitals Log'!B:B,"&lt;="&amp;B22+6),1),""))</f>
        <v/>
      </c>
      <c r="H22" s="11" t="str">
        <f>IF(B22="","",IFERROR(ROUND(AVERAGEIFS('📅 Daily Vitals Log'!H:H,'📅 Daily Vitals Log'!B:B,"&gt;="&amp;B22,'📅 Daily Vitals Log'!B:B,"&lt;="&amp;B22+6),2),""))</f>
        <v/>
      </c>
      <c r="I22" s="12" t="str">
        <f>IF(B22="","",IFERROR(ROUND(AVERAGEIFS('📅 Daily Vitals Log'!I:I,'📅 Daily Vitals Log'!B:B,"&gt;="&amp;B22,'📅 Daily Vitals Log'!B:B,"&lt;="&amp;B22+6),0),""))</f>
        <v/>
      </c>
      <c r="J22" s="12" t="str">
        <f>IF(B22="","",IFERROR(ROUND(AVERAGEIFS('📅 Daily Vitals Log'!J:J,'📅 Daily Vitals Log'!B:B,"&gt;="&amp;B22,'📅 Daily Vitals Log'!B:B,"&lt;="&amp;B22+6),0),""))</f>
        <v/>
      </c>
      <c r="K22" s="12" t="str">
        <f>IF(B22="","",IFERROR(ROUND(AVERAGEIFS('📅 Daily Vitals Log'!M:M,'📅 Daily Vitals Log'!B:B,"&gt;="&amp;B22,'📅 Daily Vitals Log'!B:B,"&lt;="&amp;B22+6),0),""))</f>
        <v/>
      </c>
      <c r="L22" s="12" t="str">
        <f>IF(B22="","",IFERROR(SUMIFS('📅 Daily Vitals Log'!I:I,'📅 Daily Vitals Log'!B:B,"&gt;="&amp;B22,'📅 Daily Vitals Log'!B:B,"&lt;="&amp;B22+6)-SUMIFS('📅 Daily Vitals Log'!J:J,'📅 Daily Vitals Log'!B:B,"&gt;="&amp;B22,'📅 Daily Vitals Log'!B:B,"&lt;="&amp;B22+6),""))</f>
        <v/>
      </c>
      <c r="M22" s="13" t="str">
        <f>IF(B22="","",COUNTIFS('📅 Daily Vitals Log'!B:B,"&gt;="&amp;B22,'📅 Daily Vitals Log'!B:B,"&lt;="&amp;B22+6,'📅 Daily Vitals Log'!F:F,"&lt;94"))</f>
        <v/>
      </c>
      <c r="N22" s="13" t="str">
        <f>IF(B22="","",SUMPRODUCT(('📅 Daily Vitals Log'!$B$4:$B$113&gt;=B22)*('📅 Daily Vitals Log'!$B$4:$B$113&lt;=B22+6)*('📅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22" s="8"/>
    </row>
    <row r="23" spans="2:15" ht="19.5" customHeight="1" x14ac:dyDescent="0.25">
      <c r="B23" s="9" t="str">
        <f>IF(B22="","",IF(B22+7&gt;MAX('📅 Daily Vitals Log'!$B$4:$B$113),"",B22+7))</f>
        <v/>
      </c>
      <c r="C23" s="9" t="str">
        <f t="shared" si="0"/>
        <v/>
      </c>
      <c r="D23" s="10" t="str">
        <f>IF(B23="","",IFERROR(ROUND(AVERAGEIFS('📅 Daily Vitals Log'!C:C,'📅 Daily Vitals Log'!B:B,"&gt;="&amp;B23,'📅 Daily Vitals Log'!B:B,"&lt;="&amp;B23+6),1),""))</f>
        <v/>
      </c>
      <c r="E23" s="10" t="str">
        <f>IF(B23="","",IFERROR(ROUND(AVERAGEIFS('📅 Daily Vitals Log'!D:D,'📅 Daily Vitals Log'!B:B,"&gt;="&amp;B23,'📅 Daily Vitals Log'!B:B,"&lt;="&amp;B23+6),1),""))</f>
        <v/>
      </c>
      <c r="F23" s="10" t="str">
        <f>IF(B23="","",IFERROR(ROUND(AVERAGEIFS('📅 Daily Vitals Log'!E:E,'📅 Daily Vitals Log'!B:B,"&gt;="&amp;B23,'📅 Daily Vitals Log'!B:B,"&lt;="&amp;B23+6),1),""))</f>
        <v/>
      </c>
      <c r="G23" s="10" t="str">
        <f>IF(B23="","",IFERROR(ROUND(AVERAGEIFS('📅 Daily Vitals Log'!F:F,'📅 Daily Vitals Log'!B:B,"&gt;="&amp;B23,'📅 Daily Vitals Log'!B:B,"&lt;="&amp;B23+6),1),""))</f>
        <v/>
      </c>
      <c r="H23" s="11" t="str">
        <f>IF(B23="","",IFERROR(ROUND(AVERAGEIFS('📅 Daily Vitals Log'!H:H,'📅 Daily Vitals Log'!B:B,"&gt;="&amp;B23,'📅 Daily Vitals Log'!B:B,"&lt;="&amp;B23+6),2),""))</f>
        <v/>
      </c>
      <c r="I23" s="12" t="str">
        <f>IF(B23="","",IFERROR(ROUND(AVERAGEIFS('📅 Daily Vitals Log'!I:I,'📅 Daily Vitals Log'!B:B,"&gt;="&amp;B23,'📅 Daily Vitals Log'!B:B,"&lt;="&amp;B23+6),0),""))</f>
        <v/>
      </c>
      <c r="J23" s="12" t="str">
        <f>IF(B23="","",IFERROR(ROUND(AVERAGEIFS('📅 Daily Vitals Log'!J:J,'📅 Daily Vitals Log'!B:B,"&gt;="&amp;B23,'📅 Daily Vitals Log'!B:B,"&lt;="&amp;B23+6),0),""))</f>
        <v/>
      </c>
      <c r="K23" s="12" t="str">
        <f>IF(B23="","",IFERROR(ROUND(AVERAGEIFS('📅 Daily Vitals Log'!M:M,'📅 Daily Vitals Log'!B:B,"&gt;="&amp;B23,'📅 Daily Vitals Log'!B:B,"&lt;="&amp;B23+6),0),""))</f>
        <v/>
      </c>
      <c r="L23" s="12" t="str">
        <f>IF(B23="","",IFERROR(SUMIFS('📅 Daily Vitals Log'!I:I,'📅 Daily Vitals Log'!B:B,"&gt;="&amp;B23,'📅 Daily Vitals Log'!B:B,"&lt;="&amp;B23+6)-SUMIFS('📅 Daily Vitals Log'!J:J,'📅 Daily Vitals Log'!B:B,"&gt;="&amp;B23,'📅 Daily Vitals Log'!B:B,"&lt;="&amp;B23+6),""))</f>
        <v/>
      </c>
      <c r="M23" s="13" t="str">
        <f>IF(B23="","",COUNTIFS('📅 Daily Vitals Log'!B:B,"&gt;="&amp;B23,'📅 Daily Vitals Log'!B:B,"&lt;="&amp;B23+6,'📅 Daily Vitals Log'!F:F,"&lt;94"))</f>
        <v/>
      </c>
      <c r="N23" s="13" t="str">
        <f>IF(B23="","",SUMPRODUCT(('📅 Daily Vitals Log'!$B$4:$B$113&gt;=B23)*('📅 Daily Vitals Log'!$B$4:$B$113&lt;=B23+6)*('📅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23" s="8"/>
    </row>
    <row r="24" spans="2:15" ht="19.5" customHeight="1" x14ac:dyDescent="0.25">
      <c r="B24" s="9" t="str">
        <f>IF(B23="","",IF(B23+7&gt;MAX('📅 Daily Vitals Log'!$B$4:$B$113),"",B23+7))</f>
        <v/>
      </c>
      <c r="C24" s="9" t="str">
        <f t="shared" si="0"/>
        <v/>
      </c>
      <c r="D24" s="10" t="str">
        <f>IF(B24="","",IFERROR(ROUND(AVERAGEIFS('📅 Daily Vitals Log'!C:C,'📅 Daily Vitals Log'!B:B,"&gt;="&amp;B24,'📅 Daily Vitals Log'!B:B,"&lt;="&amp;B24+6),1),""))</f>
        <v/>
      </c>
      <c r="E24" s="10" t="str">
        <f>IF(B24="","",IFERROR(ROUND(AVERAGEIFS('📅 Daily Vitals Log'!D:D,'📅 Daily Vitals Log'!B:B,"&gt;="&amp;B24,'📅 Daily Vitals Log'!B:B,"&lt;="&amp;B24+6),1),""))</f>
        <v/>
      </c>
      <c r="F24" s="10" t="str">
        <f>IF(B24="","",IFERROR(ROUND(AVERAGEIFS('📅 Daily Vitals Log'!E:E,'📅 Daily Vitals Log'!B:B,"&gt;="&amp;B24,'📅 Daily Vitals Log'!B:B,"&lt;="&amp;B24+6),1),""))</f>
        <v/>
      </c>
      <c r="G24" s="10" t="str">
        <f>IF(B24="","",IFERROR(ROUND(AVERAGEIFS('📅 Daily Vitals Log'!F:F,'📅 Daily Vitals Log'!B:B,"&gt;="&amp;B24,'📅 Daily Vitals Log'!B:B,"&lt;="&amp;B24+6),1),""))</f>
        <v/>
      </c>
      <c r="H24" s="11" t="str">
        <f>IF(B24="","",IFERROR(ROUND(AVERAGEIFS('📅 Daily Vitals Log'!H:H,'📅 Daily Vitals Log'!B:B,"&gt;="&amp;B24,'📅 Daily Vitals Log'!B:B,"&lt;="&amp;B24+6),2),""))</f>
        <v/>
      </c>
      <c r="I24" s="12" t="str">
        <f>IF(B24="","",IFERROR(ROUND(AVERAGEIFS('📅 Daily Vitals Log'!I:I,'📅 Daily Vitals Log'!B:B,"&gt;="&amp;B24,'📅 Daily Vitals Log'!B:B,"&lt;="&amp;B24+6),0),""))</f>
        <v/>
      </c>
      <c r="J24" s="12" t="str">
        <f>IF(B24="","",IFERROR(ROUND(AVERAGEIFS('📅 Daily Vitals Log'!J:J,'📅 Daily Vitals Log'!B:B,"&gt;="&amp;B24,'📅 Daily Vitals Log'!B:B,"&lt;="&amp;B24+6),0),""))</f>
        <v/>
      </c>
      <c r="K24" s="12" t="str">
        <f>IF(B24="","",IFERROR(ROUND(AVERAGEIFS('📅 Daily Vitals Log'!M:M,'📅 Daily Vitals Log'!B:B,"&gt;="&amp;B24,'📅 Daily Vitals Log'!B:B,"&lt;="&amp;B24+6),0),""))</f>
        <v/>
      </c>
      <c r="L24" s="12" t="str">
        <f>IF(B24="","",IFERROR(SUMIFS('📅 Daily Vitals Log'!I:I,'📅 Daily Vitals Log'!B:B,"&gt;="&amp;B24,'📅 Daily Vitals Log'!B:B,"&lt;="&amp;B24+6)-SUMIFS('📅 Daily Vitals Log'!J:J,'📅 Daily Vitals Log'!B:B,"&gt;="&amp;B24,'📅 Daily Vitals Log'!B:B,"&lt;="&amp;B24+6),""))</f>
        <v/>
      </c>
      <c r="M24" s="13" t="str">
        <f>IF(B24="","",COUNTIFS('📅 Daily Vitals Log'!B:B,"&gt;="&amp;B24,'📅 Daily Vitals Log'!B:B,"&lt;="&amp;B24+6,'📅 Daily Vitals Log'!F:F,"&lt;94"))</f>
        <v/>
      </c>
      <c r="N24" s="13" t="str">
        <f>IF(B24="","",SUMPRODUCT(('📅 Daily Vitals Log'!$B$4:$B$113&gt;=B24)*('📅 Daily Vitals Log'!$B$4:$B$113&lt;=B24+6)*('📅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24" s="8"/>
    </row>
    <row r="25" spans="2:15" ht="19.5" customHeight="1" x14ac:dyDescent="0.25">
      <c r="B25" s="9" t="str">
        <f>IF(B24="","",IF(B24+7&gt;MAX('📅 Daily Vitals Log'!$B$4:$B$113),"",B24+7))</f>
        <v/>
      </c>
      <c r="C25" s="9" t="str">
        <f t="shared" si="0"/>
        <v/>
      </c>
      <c r="D25" s="10" t="str">
        <f>IF(B25="","",IFERROR(ROUND(AVERAGEIFS('📅 Daily Vitals Log'!C:C,'📅 Daily Vitals Log'!B:B,"&gt;="&amp;B25,'📅 Daily Vitals Log'!B:B,"&lt;="&amp;B25+6),1),""))</f>
        <v/>
      </c>
      <c r="E25" s="10" t="str">
        <f>IF(B25="","",IFERROR(ROUND(AVERAGEIFS('📅 Daily Vitals Log'!D:D,'📅 Daily Vitals Log'!B:B,"&gt;="&amp;B25,'📅 Daily Vitals Log'!B:B,"&lt;="&amp;B25+6),1),""))</f>
        <v/>
      </c>
      <c r="F25" s="10" t="str">
        <f>IF(B25="","",IFERROR(ROUND(AVERAGEIFS('📅 Daily Vitals Log'!E:E,'📅 Daily Vitals Log'!B:B,"&gt;="&amp;B25,'📅 Daily Vitals Log'!B:B,"&lt;="&amp;B25+6),1),""))</f>
        <v/>
      </c>
      <c r="G25" s="10" t="str">
        <f>IF(B25="","",IFERROR(ROUND(AVERAGEIFS('📅 Daily Vitals Log'!F:F,'📅 Daily Vitals Log'!B:B,"&gt;="&amp;B25,'📅 Daily Vitals Log'!B:B,"&lt;="&amp;B25+6),1),""))</f>
        <v/>
      </c>
      <c r="H25" s="11" t="str">
        <f>IF(B25="","",IFERROR(ROUND(AVERAGEIFS('📅 Daily Vitals Log'!H:H,'📅 Daily Vitals Log'!B:B,"&gt;="&amp;B25,'📅 Daily Vitals Log'!B:B,"&lt;="&amp;B25+6),2),""))</f>
        <v/>
      </c>
      <c r="I25" s="12" t="str">
        <f>IF(B25="","",IFERROR(ROUND(AVERAGEIFS('📅 Daily Vitals Log'!I:I,'📅 Daily Vitals Log'!B:B,"&gt;="&amp;B25,'📅 Daily Vitals Log'!B:B,"&lt;="&amp;B25+6),0),""))</f>
        <v/>
      </c>
      <c r="J25" s="12" t="str">
        <f>IF(B25="","",IFERROR(ROUND(AVERAGEIFS('📅 Daily Vitals Log'!J:J,'📅 Daily Vitals Log'!B:B,"&gt;="&amp;B25,'📅 Daily Vitals Log'!B:B,"&lt;="&amp;B25+6),0),""))</f>
        <v/>
      </c>
      <c r="K25" s="12" t="str">
        <f>IF(B25="","",IFERROR(ROUND(AVERAGEIFS('📅 Daily Vitals Log'!M:M,'📅 Daily Vitals Log'!B:B,"&gt;="&amp;B25,'📅 Daily Vitals Log'!B:B,"&lt;="&amp;B25+6),0),""))</f>
        <v/>
      </c>
      <c r="L25" s="12" t="str">
        <f>IF(B25="","",IFERROR(SUMIFS('📅 Daily Vitals Log'!I:I,'📅 Daily Vitals Log'!B:B,"&gt;="&amp;B25,'📅 Daily Vitals Log'!B:B,"&lt;="&amp;B25+6)-SUMIFS('📅 Daily Vitals Log'!J:J,'📅 Daily Vitals Log'!B:B,"&gt;="&amp;B25,'📅 Daily Vitals Log'!B:B,"&lt;="&amp;B25+6),""))</f>
        <v/>
      </c>
      <c r="M25" s="13" t="str">
        <f>IF(B25="","",COUNTIFS('📅 Daily Vitals Log'!B:B,"&gt;="&amp;B25,'📅 Daily Vitals Log'!B:B,"&lt;="&amp;B25+6,'📅 Daily Vitals Log'!F:F,"&lt;94"))</f>
        <v/>
      </c>
      <c r="N25" s="13" t="str">
        <f>IF(B25="","",SUMPRODUCT(('📅 Daily Vitals Log'!$B$4:$B$113&gt;=B25)*('📅 Daily Vitals Log'!$B$4:$B$113&lt;=B25+6)*('📅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25" s="8"/>
    </row>
    <row r="26" spans="2:15" ht="19.5" customHeight="1" x14ac:dyDescent="0.25">
      <c r="B26" s="9" t="str">
        <f>IF(B25="","",IF(B25+7&gt;MAX('📅 Daily Vitals Log'!$B$4:$B$113),"",B25+7))</f>
        <v/>
      </c>
      <c r="C26" s="9" t="str">
        <f t="shared" si="0"/>
        <v/>
      </c>
      <c r="D26" s="10" t="str">
        <f>IF(B26="","",IFERROR(ROUND(AVERAGEIFS('📅 Daily Vitals Log'!C:C,'📅 Daily Vitals Log'!B:B,"&gt;="&amp;B26,'📅 Daily Vitals Log'!B:B,"&lt;="&amp;B26+6),1),""))</f>
        <v/>
      </c>
      <c r="E26" s="10" t="str">
        <f>IF(B26="","",IFERROR(ROUND(AVERAGEIFS('📅 Daily Vitals Log'!D:D,'📅 Daily Vitals Log'!B:B,"&gt;="&amp;B26,'📅 Daily Vitals Log'!B:B,"&lt;="&amp;B26+6),1),""))</f>
        <v/>
      </c>
      <c r="F26" s="10" t="str">
        <f>IF(B26="","",IFERROR(ROUND(AVERAGEIFS('📅 Daily Vitals Log'!E:E,'📅 Daily Vitals Log'!B:B,"&gt;="&amp;B26,'📅 Daily Vitals Log'!B:B,"&lt;="&amp;B26+6),1),""))</f>
        <v/>
      </c>
      <c r="G26" s="10" t="str">
        <f>IF(B26="","",IFERROR(ROUND(AVERAGEIFS('📅 Daily Vitals Log'!F:F,'📅 Daily Vitals Log'!B:B,"&gt;="&amp;B26,'📅 Daily Vitals Log'!B:B,"&lt;="&amp;B26+6),1),""))</f>
        <v/>
      </c>
      <c r="H26" s="11" t="str">
        <f>IF(B26="","",IFERROR(ROUND(AVERAGEIFS('📅 Daily Vitals Log'!H:H,'📅 Daily Vitals Log'!B:B,"&gt;="&amp;B26,'📅 Daily Vitals Log'!B:B,"&lt;="&amp;B26+6),2),""))</f>
        <v/>
      </c>
      <c r="I26" s="12" t="str">
        <f>IF(B26="","",IFERROR(ROUND(AVERAGEIFS('📅 Daily Vitals Log'!I:I,'📅 Daily Vitals Log'!B:B,"&gt;="&amp;B26,'📅 Daily Vitals Log'!B:B,"&lt;="&amp;B26+6),0),""))</f>
        <v/>
      </c>
      <c r="J26" s="12" t="str">
        <f>IF(B26="","",IFERROR(ROUND(AVERAGEIFS('📅 Daily Vitals Log'!J:J,'📅 Daily Vitals Log'!B:B,"&gt;="&amp;B26,'📅 Daily Vitals Log'!B:B,"&lt;="&amp;B26+6),0),""))</f>
        <v/>
      </c>
      <c r="K26" s="12" t="str">
        <f>IF(B26="","",IFERROR(ROUND(AVERAGEIFS('📅 Daily Vitals Log'!M:M,'📅 Daily Vitals Log'!B:B,"&gt;="&amp;B26,'📅 Daily Vitals Log'!B:B,"&lt;="&amp;B26+6),0),""))</f>
        <v/>
      </c>
      <c r="L26" s="12" t="str">
        <f>IF(B26="","",IFERROR(SUMIFS('📅 Daily Vitals Log'!I:I,'📅 Daily Vitals Log'!B:B,"&gt;="&amp;B26,'📅 Daily Vitals Log'!B:B,"&lt;="&amp;B26+6)-SUMIFS('📅 Daily Vitals Log'!J:J,'📅 Daily Vitals Log'!B:B,"&gt;="&amp;B26,'📅 Daily Vitals Log'!B:B,"&lt;="&amp;B26+6),""))</f>
        <v/>
      </c>
      <c r="M26" s="13" t="str">
        <f>IF(B26="","",COUNTIFS('📅 Daily Vitals Log'!B:B,"&gt;="&amp;B26,'📅 Daily Vitals Log'!B:B,"&lt;="&amp;B26+6,'📅 Daily Vitals Log'!F:F,"&lt;94"))</f>
        <v/>
      </c>
      <c r="N26" s="13" t="str">
        <f>IF(B26="","",SUMPRODUCT(('📅 Daily Vitals Log'!$B$4:$B$113&gt;=B26)*('📅 Daily Vitals Log'!$B$4:$B$113&lt;=B26+6)*('📅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26" s="8"/>
    </row>
    <row r="27" spans="2:15" ht="19.5" customHeight="1" x14ac:dyDescent="0.25">
      <c r="B27" s="9" t="str">
        <f>IF(B26="","",IF(B26+7&gt;MAX('📅 Daily Vitals Log'!$B$4:$B$113),"",B26+7))</f>
        <v/>
      </c>
      <c r="C27" s="9" t="str">
        <f t="shared" si="0"/>
        <v/>
      </c>
      <c r="D27" s="10" t="str">
        <f>IF(B27="","",IFERROR(ROUND(AVERAGEIFS('📅 Daily Vitals Log'!C:C,'📅 Daily Vitals Log'!B:B,"&gt;="&amp;B27,'📅 Daily Vitals Log'!B:B,"&lt;="&amp;B27+6),1),""))</f>
        <v/>
      </c>
      <c r="E27" s="10" t="str">
        <f>IF(B27="","",IFERROR(ROUND(AVERAGEIFS('📅 Daily Vitals Log'!D:D,'📅 Daily Vitals Log'!B:B,"&gt;="&amp;B27,'📅 Daily Vitals Log'!B:B,"&lt;="&amp;B27+6),1),""))</f>
        <v/>
      </c>
      <c r="F27" s="10" t="str">
        <f>IF(B27="","",IFERROR(ROUND(AVERAGEIFS('📅 Daily Vitals Log'!E:E,'📅 Daily Vitals Log'!B:B,"&gt;="&amp;B27,'📅 Daily Vitals Log'!B:B,"&lt;="&amp;B27+6),1),""))</f>
        <v/>
      </c>
      <c r="G27" s="10" t="str">
        <f>IF(B27="","",IFERROR(ROUND(AVERAGEIFS('📅 Daily Vitals Log'!F:F,'📅 Daily Vitals Log'!B:B,"&gt;="&amp;B27,'📅 Daily Vitals Log'!B:B,"&lt;="&amp;B27+6),1),""))</f>
        <v/>
      </c>
      <c r="H27" s="11" t="str">
        <f>IF(B27="","",IFERROR(ROUND(AVERAGEIFS('📅 Daily Vitals Log'!H:H,'📅 Daily Vitals Log'!B:B,"&gt;="&amp;B27,'📅 Daily Vitals Log'!B:B,"&lt;="&amp;B27+6),2),""))</f>
        <v/>
      </c>
      <c r="I27" s="12" t="str">
        <f>IF(B27="","",IFERROR(ROUND(AVERAGEIFS('📅 Daily Vitals Log'!I:I,'📅 Daily Vitals Log'!B:B,"&gt;="&amp;B27,'📅 Daily Vitals Log'!B:B,"&lt;="&amp;B27+6),0),""))</f>
        <v/>
      </c>
      <c r="J27" s="12" t="str">
        <f>IF(B27="","",IFERROR(ROUND(AVERAGEIFS('📅 Daily Vitals Log'!J:J,'📅 Daily Vitals Log'!B:B,"&gt;="&amp;B27,'📅 Daily Vitals Log'!B:B,"&lt;="&amp;B27+6),0),""))</f>
        <v/>
      </c>
      <c r="K27" s="12" t="str">
        <f>IF(B27="","",IFERROR(ROUND(AVERAGEIFS('📅 Daily Vitals Log'!M:M,'📅 Daily Vitals Log'!B:B,"&gt;="&amp;B27,'📅 Daily Vitals Log'!B:B,"&lt;="&amp;B27+6),0),""))</f>
        <v/>
      </c>
      <c r="L27" s="12" t="str">
        <f>IF(B27="","",IFERROR(SUMIFS('📅 Daily Vitals Log'!I:I,'📅 Daily Vitals Log'!B:B,"&gt;="&amp;B27,'📅 Daily Vitals Log'!B:B,"&lt;="&amp;B27+6)-SUMIFS('📅 Daily Vitals Log'!J:J,'📅 Daily Vitals Log'!B:B,"&gt;="&amp;B27,'📅 Daily Vitals Log'!B:B,"&lt;="&amp;B27+6),""))</f>
        <v/>
      </c>
      <c r="M27" s="13" t="str">
        <f>IF(B27="","",COUNTIFS('📅 Daily Vitals Log'!B:B,"&gt;="&amp;B27,'📅 Daily Vitals Log'!B:B,"&lt;="&amp;B27+6,'📅 Daily Vitals Log'!F:F,"&lt;94"))</f>
        <v/>
      </c>
      <c r="N27" s="13" t="str">
        <f>IF(B27="","",SUMPRODUCT(('📅 Daily Vitals Log'!$B$4:$B$113&gt;=B27)*('📅 Daily Vitals Log'!$B$4:$B$113&lt;=B27+6)*('📅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27" s="8"/>
    </row>
    <row r="28" spans="2:15" ht="19.5" customHeight="1" x14ac:dyDescent="0.25">
      <c r="B28" s="9" t="str">
        <f>IF(B27="","",IF(B27+7&gt;MAX('📅 Daily Vitals Log'!$B$4:$B$113),"",B27+7))</f>
        <v/>
      </c>
      <c r="C28" s="9" t="str">
        <f t="shared" si="0"/>
        <v/>
      </c>
      <c r="D28" s="10" t="str">
        <f>IF(B28="","",IFERROR(ROUND(AVERAGEIFS('📅 Daily Vitals Log'!C:C,'📅 Daily Vitals Log'!B:B,"&gt;="&amp;B28,'📅 Daily Vitals Log'!B:B,"&lt;="&amp;B28+6),1),""))</f>
        <v/>
      </c>
      <c r="E28" s="10" t="str">
        <f>IF(B28="","",IFERROR(ROUND(AVERAGEIFS('📅 Daily Vitals Log'!D:D,'📅 Daily Vitals Log'!B:B,"&gt;="&amp;B28,'📅 Daily Vitals Log'!B:B,"&lt;="&amp;B28+6),1),""))</f>
        <v/>
      </c>
      <c r="F28" s="10" t="str">
        <f>IF(B28="","",IFERROR(ROUND(AVERAGEIFS('📅 Daily Vitals Log'!E:E,'📅 Daily Vitals Log'!B:B,"&gt;="&amp;B28,'📅 Daily Vitals Log'!B:B,"&lt;="&amp;B28+6),1),""))</f>
        <v/>
      </c>
      <c r="G28" s="10" t="str">
        <f>IF(B28="","",IFERROR(ROUND(AVERAGEIFS('📅 Daily Vitals Log'!F:F,'📅 Daily Vitals Log'!B:B,"&gt;="&amp;B28,'📅 Daily Vitals Log'!B:B,"&lt;="&amp;B28+6),1),""))</f>
        <v/>
      </c>
      <c r="H28" s="11" t="str">
        <f>IF(B28="","",IFERROR(ROUND(AVERAGEIFS('📅 Daily Vitals Log'!H:H,'📅 Daily Vitals Log'!B:B,"&gt;="&amp;B28,'📅 Daily Vitals Log'!B:B,"&lt;="&amp;B28+6),2),""))</f>
        <v/>
      </c>
      <c r="I28" s="12" t="str">
        <f>IF(B28="","",IFERROR(ROUND(AVERAGEIFS('📅 Daily Vitals Log'!I:I,'📅 Daily Vitals Log'!B:B,"&gt;="&amp;B28,'📅 Daily Vitals Log'!B:B,"&lt;="&amp;B28+6),0),""))</f>
        <v/>
      </c>
      <c r="J28" s="12" t="str">
        <f>IF(B28="","",IFERROR(ROUND(AVERAGEIFS('📅 Daily Vitals Log'!J:J,'📅 Daily Vitals Log'!B:B,"&gt;="&amp;B28,'📅 Daily Vitals Log'!B:B,"&lt;="&amp;B28+6),0),""))</f>
        <v/>
      </c>
      <c r="K28" s="12" t="str">
        <f>IF(B28="","",IFERROR(ROUND(AVERAGEIFS('📅 Daily Vitals Log'!M:M,'📅 Daily Vitals Log'!B:B,"&gt;="&amp;B28,'📅 Daily Vitals Log'!B:B,"&lt;="&amp;B28+6),0),""))</f>
        <v/>
      </c>
      <c r="L28" s="12" t="str">
        <f>IF(B28="","",IFERROR(SUMIFS('📅 Daily Vitals Log'!I:I,'📅 Daily Vitals Log'!B:B,"&gt;="&amp;B28,'📅 Daily Vitals Log'!B:B,"&lt;="&amp;B28+6)-SUMIFS('📅 Daily Vitals Log'!J:J,'📅 Daily Vitals Log'!B:B,"&gt;="&amp;B28,'📅 Daily Vitals Log'!B:B,"&lt;="&amp;B28+6),""))</f>
        <v/>
      </c>
      <c r="M28" s="13" t="str">
        <f>IF(B28="","",COUNTIFS('📅 Daily Vitals Log'!B:B,"&gt;="&amp;B28,'📅 Daily Vitals Log'!B:B,"&lt;="&amp;B28+6,'📅 Daily Vitals Log'!F:F,"&lt;94"))</f>
        <v/>
      </c>
      <c r="N28" s="13" t="str">
        <f>IF(B28="","",SUMPRODUCT(('📅 Daily Vitals Log'!$B$4:$B$113&gt;=B28)*('📅 Daily Vitals Log'!$B$4:$B$113&lt;=B28+6)*('📅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28" s="8"/>
    </row>
    <row r="29" spans="2:15" ht="19.5" customHeight="1" x14ac:dyDescent="0.25">
      <c r="B29" s="9" t="str">
        <f>IF(B28="","",IF(B28+7&gt;MAX('📅 Daily Vitals Log'!$B$4:$B$113),"",B28+7))</f>
        <v/>
      </c>
      <c r="C29" s="9" t="str">
        <f t="shared" si="0"/>
        <v/>
      </c>
      <c r="D29" s="10" t="str">
        <f>IF(B29="","",IFERROR(ROUND(AVERAGEIFS('📅 Daily Vitals Log'!C:C,'📅 Daily Vitals Log'!B:B,"&gt;="&amp;B29,'📅 Daily Vitals Log'!B:B,"&lt;="&amp;B29+6),1),""))</f>
        <v/>
      </c>
      <c r="E29" s="10" t="str">
        <f>IF(B29="","",IFERROR(ROUND(AVERAGEIFS('📅 Daily Vitals Log'!D:D,'📅 Daily Vitals Log'!B:B,"&gt;="&amp;B29,'📅 Daily Vitals Log'!B:B,"&lt;="&amp;B29+6),1),""))</f>
        <v/>
      </c>
      <c r="F29" s="10" t="str">
        <f>IF(B29="","",IFERROR(ROUND(AVERAGEIFS('📅 Daily Vitals Log'!E:E,'📅 Daily Vitals Log'!B:B,"&gt;="&amp;B29,'📅 Daily Vitals Log'!B:B,"&lt;="&amp;B29+6),1),""))</f>
        <v/>
      </c>
      <c r="G29" s="10" t="str">
        <f>IF(B29="","",IFERROR(ROUND(AVERAGEIFS('📅 Daily Vitals Log'!F:F,'📅 Daily Vitals Log'!B:B,"&gt;="&amp;B29,'📅 Daily Vitals Log'!B:B,"&lt;="&amp;B29+6),1),""))</f>
        <v/>
      </c>
      <c r="H29" s="11" t="str">
        <f>IF(B29="","",IFERROR(ROUND(AVERAGEIFS('📅 Daily Vitals Log'!H:H,'📅 Daily Vitals Log'!B:B,"&gt;="&amp;B29,'📅 Daily Vitals Log'!B:B,"&lt;="&amp;B29+6),2),""))</f>
        <v/>
      </c>
      <c r="I29" s="12" t="str">
        <f>IF(B29="","",IFERROR(ROUND(AVERAGEIFS('📅 Daily Vitals Log'!I:I,'📅 Daily Vitals Log'!B:B,"&gt;="&amp;B29,'📅 Daily Vitals Log'!B:B,"&lt;="&amp;B29+6),0),""))</f>
        <v/>
      </c>
      <c r="J29" s="12" t="str">
        <f>IF(B29="","",IFERROR(ROUND(AVERAGEIFS('📅 Daily Vitals Log'!J:J,'📅 Daily Vitals Log'!B:B,"&gt;="&amp;B29,'📅 Daily Vitals Log'!B:B,"&lt;="&amp;B29+6),0),""))</f>
        <v/>
      </c>
      <c r="K29" s="12" t="str">
        <f>IF(B29="","",IFERROR(ROUND(AVERAGEIFS('📅 Daily Vitals Log'!M:M,'📅 Daily Vitals Log'!B:B,"&gt;="&amp;B29,'📅 Daily Vitals Log'!B:B,"&lt;="&amp;B29+6),0),""))</f>
        <v/>
      </c>
      <c r="L29" s="12" t="str">
        <f>IF(B29="","",IFERROR(SUMIFS('📅 Daily Vitals Log'!I:I,'📅 Daily Vitals Log'!B:B,"&gt;="&amp;B29,'📅 Daily Vitals Log'!B:B,"&lt;="&amp;B29+6)-SUMIFS('📅 Daily Vitals Log'!J:J,'📅 Daily Vitals Log'!B:B,"&gt;="&amp;B29,'📅 Daily Vitals Log'!B:B,"&lt;="&amp;B29+6),""))</f>
        <v/>
      </c>
      <c r="M29" s="13" t="str">
        <f>IF(B29="","",COUNTIFS('📅 Daily Vitals Log'!B:B,"&gt;="&amp;B29,'📅 Daily Vitals Log'!B:B,"&lt;="&amp;B29+6,'📅 Daily Vitals Log'!F:F,"&lt;94"))</f>
        <v/>
      </c>
      <c r="N29" s="13" t="str">
        <f>IF(B29="","",SUMPRODUCT(('📅 Daily Vitals Log'!$B$4:$B$113&gt;=B29)*('📅 Daily Vitals Log'!$B$4:$B$113&lt;=B29+6)*('📅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29" s="8"/>
    </row>
    <row r="30" spans="2:15" ht="19.5" customHeight="1" x14ac:dyDescent="0.25">
      <c r="B30" s="9" t="str">
        <f>IF(B29="","",IF(B29+7&gt;MAX('📅 Daily Vitals Log'!$B$4:$B$113),"",B29+7))</f>
        <v/>
      </c>
      <c r="C30" s="9" t="str">
        <f t="shared" si="0"/>
        <v/>
      </c>
      <c r="D30" s="10" t="str">
        <f>IF(B30="","",IFERROR(ROUND(AVERAGEIFS('📅 Daily Vitals Log'!C:C,'📅 Daily Vitals Log'!B:B,"&gt;="&amp;B30,'📅 Daily Vitals Log'!B:B,"&lt;="&amp;B30+6),1),""))</f>
        <v/>
      </c>
      <c r="E30" s="10" t="str">
        <f>IF(B30="","",IFERROR(ROUND(AVERAGEIFS('📅 Daily Vitals Log'!D:D,'📅 Daily Vitals Log'!B:B,"&gt;="&amp;B30,'📅 Daily Vitals Log'!B:B,"&lt;="&amp;B30+6),1),""))</f>
        <v/>
      </c>
      <c r="F30" s="10" t="str">
        <f>IF(B30="","",IFERROR(ROUND(AVERAGEIFS('📅 Daily Vitals Log'!E:E,'📅 Daily Vitals Log'!B:B,"&gt;="&amp;B30,'📅 Daily Vitals Log'!B:B,"&lt;="&amp;B30+6),1),""))</f>
        <v/>
      </c>
      <c r="G30" s="10" t="str">
        <f>IF(B30="","",IFERROR(ROUND(AVERAGEIFS('📅 Daily Vitals Log'!F:F,'📅 Daily Vitals Log'!B:B,"&gt;="&amp;B30,'📅 Daily Vitals Log'!B:B,"&lt;="&amp;B30+6),1),""))</f>
        <v/>
      </c>
      <c r="H30" s="11" t="str">
        <f>IF(B30="","",IFERROR(ROUND(AVERAGEIFS('📅 Daily Vitals Log'!H:H,'📅 Daily Vitals Log'!B:B,"&gt;="&amp;B30,'📅 Daily Vitals Log'!B:B,"&lt;="&amp;B30+6),2),""))</f>
        <v/>
      </c>
      <c r="I30" s="12" t="str">
        <f>IF(B30="","",IFERROR(ROUND(AVERAGEIFS('📅 Daily Vitals Log'!I:I,'📅 Daily Vitals Log'!B:B,"&gt;="&amp;B30,'📅 Daily Vitals Log'!B:B,"&lt;="&amp;B30+6),0),""))</f>
        <v/>
      </c>
      <c r="J30" s="12" t="str">
        <f>IF(B30="","",IFERROR(ROUND(AVERAGEIFS('📅 Daily Vitals Log'!J:J,'📅 Daily Vitals Log'!B:B,"&gt;="&amp;B30,'📅 Daily Vitals Log'!B:B,"&lt;="&amp;B30+6),0),""))</f>
        <v/>
      </c>
      <c r="K30" s="12" t="str">
        <f>IF(B30="","",IFERROR(ROUND(AVERAGEIFS('📅 Daily Vitals Log'!M:M,'📅 Daily Vitals Log'!B:B,"&gt;="&amp;B30,'📅 Daily Vitals Log'!B:B,"&lt;="&amp;B30+6),0),""))</f>
        <v/>
      </c>
      <c r="L30" s="12" t="str">
        <f>IF(B30="","",IFERROR(SUMIFS('📅 Daily Vitals Log'!I:I,'📅 Daily Vitals Log'!B:B,"&gt;="&amp;B30,'📅 Daily Vitals Log'!B:B,"&lt;="&amp;B30+6)-SUMIFS('📅 Daily Vitals Log'!J:J,'📅 Daily Vitals Log'!B:B,"&gt;="&amp;B30,'📅 Daily Vitals Log'!B:B,"&lt;="&amp;B30+6),""))</f>
        <v/>
      </c>
      <c r="M30" s="13" t="str">
        <f>IF(B30="","",COUNTIFS('📅 Daily Vitals Log'!B:B,"&gt;="&amp;B30,'📅 Daily Vitals Log'!B:B,"&lt;="&amp;B30+6,'📅 Daily Vitals Log'!F:F,"&lt;94"))</f>
        <v/>
      </c>
      <c r="N30" s="13" t="str">
        <f>IF(B30="","",SUMPRODUCT(('📅 Daily Vitals Log'!$B$4:$B$113&gt;=B30)*('📅 Daily Vitals Log'!$B$4:$B$113&lt;=B30+6)*('📅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30" s="8"/>
    </row>
    <row r="31" spans="2:15" ht="19.5" customHeight="1" x14ac:dyDescent="0.25">
      <c r="B31" s="9" t="str">
        <f>IF(B30="","",IF(B30+7&gt;MAX('📅 Daily Vitals Log'!$B$4:$B$113),"",B30+7))</f>
        <v/>
      </c>
      <c r="C31" s="9" t="str">
        <f t="shared" si="0"/>
        <v/>
      </c>
      <c r="D31" s="10" t="str">
        <f>IF(B31="","",IFERROR(ROUND(AVERAGEIFS('📅 Daily Vitals Log'!C:C,'📅 Daily Vitals Log'!B:B,"&gt;="&amp;B31,'📅 Daily Vitals Log'!B:B,"&lt;="&amp;B31+6),1),""))</f>
        <v/>
      </c>
      <c r="E31" s="10" t="str">
        <f>IF(B31="","",IFERROR(ROUND(AVERAGEIFS('📅 Daily Vitals Log'!D:D,'📅 Daily Vitals Log'!B:B,"&gt;="&amp;B31,'📅 Daily Vitals Log'!B:B,"&lt;="&amp;B31+6),1),""))</f>
        <v/>
      </c>
      <c r="F31" s="10" t="str">
        <f>IF(B31="","",IFERROR(ROUND(AVERAGEIFS('📅 Daily Vitals Log'!E:E,'📅 Daily Vitals Log'!B:B,"&gt;="&amp;B31,'📅 Daily Vitals Log'!B:B,"&lt;="&amp;B31+6),1),""))</f>
        <v/>
      </c>
      <c r="G31" s="10" t="str">
        <f>IF(B31="","",IFERROR(ROUND(AVERAGEIFS('📅 Daily Vitals Log'!F:F,'📅 Daily Vitals Log'!B:B,"&gt;="&amp;B31,'📅 Daily Vitals Log'!B:B,"&lt;="&amp;B31+6),1),""))</f>
        <v/>
      </c>
      <c r="H31" s="11" t="str">
        <f>IF(B31="","",IFERROR(ROUND(AVERAGEIFS('📅 Daily Vitals Log'!H:H,'📅 Daily Vitals Log'!B:B,"&gt;="&amp;B31,'📅 Daily Vitals Log'!B:B,"&lt;="&amp;B31+6),2),""))</f>
        <v/>
      </c>
      <c r="I31" s="12" t="str">
        <f>IF(B31="","",IFERROR(ROUND(AVERAGEIFS('📅 Daily Vitals Log'!I:I,'📅 Daily Vitals Log'!B:B,"&gt;="&amp;B31,'📅 Daily Vitals Log'!B:B,"&lt;="&amp;B31+6),0),""))</f>
        <v/>
      </c>
      <c r="J31" s="12" t="str">
        <f>IF(B31="","",IFERROR(ROUND(AVERAGEIFS('📅 Daily Vitals Log'!J:J,'📅 Daily Vitals Log'!B:B,"&gt;="&amp;B31,'📅 Daily Vitals Log'!B:B,"&lt;="&amp;B31+6),0),""))</f>
        <v/>
      </c>
      <c r="K31" s="12" t="str">
        <f>IF(B31="","",IFERROR(ROUND(AVERAGEIFS('📅 Daily Vitals Log'!M:M,'📅 Daily Vitals Log'!B:B,"&gt;="&amp;B31,'📅 Daily Vitals Log'!B:B,"&lt;="&amp;B31+6),0),""))</f>
        <v/>
      </c>
      <c r="L31" s="12" t="str">
        <f>IF(B31="","",IFERROR(SUMIFS('📅 Daily Vitals Log'!I:I,'📅 Daily Vitals Log'!B:B,"&gt;="&amp;B31,'📅 Daily Vitals Log'!B:B,"&lt;="&amp;B31+6)-SUMIFS('📅 Daily Vitals Log'!J:J,'📅 Daily Vitals Log'!B:B,"&gt;="&amp;B31,'📅 Daily Vitals Log'!B:B,"&lt;="&amp;B31+6),""))</f>
        <v/>
      </c>
      <c r="M31" s="13" t="str">
        <f>IF(B31="","",COUNTIFS('📅 Daily Vitals Log'!B:B,"&gt;="&amp;B31,'📅 Daily Vitals Log'!B:B,"&lt;="&amp;B31+6,'📅 Daily Vitals Log'!F:F,"&lt;94"))</f>
        <v/>
      </c>
      <c r="N31" s="13" t="str">
        <f>IF(B31="","",SUMPRODUCT(('📅 Daily Vitals Log'!$B$4:$B$113&gt;=B31)*('📅 Daily Vitals Log'!$B$4:$B$113&lt;=B31+6)*('📅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31" s="8"/>
    </row>
    <row r="32" spans="2:15" ht="19.5" customHeight="1" x14ac:dyDescent="0.25">
      <c r="B32" s="9" t="str">
        <f>IF(B31="","",IF(B31+7&gt;MAX('📅 Daily Vitals Log'!$B$4:$B$113),"",B31+7))</f>
        <v/>
      </c>
      <c r="C32" s="9" t="str">
        <f t="shared" si="0"/>
        <v/>
      </c>
      <c r="D32" s="10" t="str">
        <f>IF(B32="","",IFERROR(ROUND(AVERAGEIFS('📅 Daily Vitals Log'!C:C,'📅 Daily Vitals Log'!B:B,"&gt;="&amp;B32,'📅 Daily Vitals Log'!B:B,"&lt;="&amp;B32+6),1),""))</f>
        <v/>
      </c>
      <c r="E32" s="10" t="str">
        <f>IF(B32="","",IFERROR(ROUND(AVERAGEIFS('📅 Daily Vitals Log'!D:D,'📅 Daily Vitals Log'!B:B,"&gt;="&amp;B32,'📅 Daily Vitals Log'!B:B,"&lt;="&amp;B32+6),1),""))</f>
        <v/>
      </c>
      <c r="F32" s="10" t="str">
        <f>IF(B32="","",IFERROR(ROUND(AVERAGEIFS('📅 Daily Vitals Log'!E:E,'📅 Daily Vitals Log'!B:B,"&gt;="&amp;B32,'📅 Daily Vitals Log'!B:B,"&lt;="&amp;B32+6),1),""))</f>
        <v/>
      </c>
      <c r="G32" s="10" t="str">
        <f>IF(B32="","",IFERROR(ROUND(AVERAGEIFS('📅 Daily Vitals Log'!F:F,'📅 Daily Vitals Log'!B:B,"&gt;="&amp;B32,'📅 Daily Vitals Log'!B:B,"&lt;="&amp;B32+6),1),""))</f>
        <v/>
      </c>
      <c r="H32" s="11" t="str">
        <f>IF(B32="","",IFERROR(ROUND(AVERAGEIFS('📅 Daily Vitals Log'!H:H,'📅 Daily Vitals Log'!B:B,"&gt;="&amp;B32,'📅 Daily Vitals Log'!B:B,"&lt;="&amp;B32+6),2),""))</f>
        <v/>
      </c>
      <c r="I32" s="12" t="str">
        <f>IF(B32="","",IFERROR(ROUND(AVERAGEIFS('📅 Daily Vitals Log'!I:I,'📅 Daily Vitals Log'!B:B,"&gt;="&amp;B32,'📅 Daily Vitals Log'!B:B,"&lt;="&amp;B32+6),0),""))</f>
        <v/>
      </c>
      <c r="J32" s="12" t="str">
        <f>IF(B32="","",IFERROR(ROUND(AVERAGEIFS('📅 Daily Vitals Log'!J:J,'📅 Daily Vitals Log'!B:B,"&gt;="&amp;B32,'📅 Daily Vitals Log'!B:B,"&lt;="&amp;B32+6),0),""))</f>
        <v/>
      </c>
      <c r="K32" s="12" t="str">
        <f>IF(B32="","",IFERROR(ROUND(AVERAGEIFS('📅 Daily Vitals Log'!M:M,'📅 Daily Vitals Log'!B:B,"&gt;="&amp;B32,'📅 Daily Vitals Log'!B:B,"&lt;="&amp;B32+6),0),""))</f>
        <v/>
      </c>
      <c r="L32" s="12" t="str">
        <f>IF(B32="","",IFERROR(SUMIFS('📅 Daily Vitals Log'!I:I,'📅 Daily Vitals Log'!B:B,"&gt;="&amp;B32,'📅 Daily Vitals Log'!B:B,"&lt;="&amp;B32+6)-SUMIFS('📅 Daily Vitals Log'!J:J,'📅 Daily Vitals Log'!B:B,"&gt;="&amp;B32,'📅 Daily Vitals Log'!B:B,"&lt;="&amp;B32+6),""))</f>
        <v/>
      </c>
      <c r="M32" s="13" t="str">
        <f>IF(B32="","",COUNTIFS('📅 Daily Vitals Log'!B:B,"&gt;="&amp;B32,'📅 Daily Vitals Log'!B:B,"&lt;="&amp;B32+6,'📅 Daily Vitals Log'!F:F,"&lt;94"))</f>
        <v/>
      </c>
      <c r="N32" s="13" t="str">
        <f>IF(B32="","",SUMPRODUCT(('📅 Daily Vitals Log'!$B$4:$B$113&gt;=B32)*('📅 Daily Vitals Log'!$B$4:$B$113&lt;=B32+6)*('📅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32" s="8"/>
    </row>
    <row r="33" spans="2:15" ht="19.5" customHeight="1" x14ac:dyDescent="0.25">
      <c r="B33" s="9" t="str">
        <f>IF(B32="","",IF(B32+7&gt;MAX('📅 Daily Vitals Log'!$B$4:$B$113),"",B32+7))</f>
        <v/>
      </c>
      <c r="C33" s="9" t="str">
        <f t="shared" si="0"/>
        <v/>
      </c>
      <c r="D33" s="10" t="str">
        <f>IF(B33="","",IFERROR(ROUND(AVERAGEIFS('📅 Daily Vitals Log'!C:C,'📅 Daily Vitals Log'!B:B,"&gt;="&amp;B33,'📅 Daily Vitals Log'!B:B,"&lt;="&amp;B33+6),1),""))</f>
        <v/>
      </c>
      <c r="E33" s="10" t="str">
        <f>IF(B33="","",IFERROR(ROUND(AVERAGEIFS('📅 Daily Vitals Log'!D:D,'📅 Daily Vitals Log'!B:B,"&gt;="&amp;B33,'📅 Daily Vitals Log'!B:B,"&lt;="&amp;B33+6),1),""))</f>
        <v/>
      </c>
      <c r="F33" s="10" t="str">
        <f>IF(B33="","",IFERROR(ROUND(AVERAGEIFS('📅 Daily Vitals Log'!E:E,'📅 Daily Vitals Log'!B:B,"&gt;="&amp;B33,'📅 Daily Vitals Log'!B:B,"&lt;="&amp;B33+6),1),""))</f>
        <v/>
      </c>
      <c r="G33" s="10" t="str">
        <f>IF(B33="","",IFERROR(ROUND(AVERAGEIFS('📅 Daily Vitals Log'!F:F,'📅 Daily Vitals Log'!B:B,"&gt;="&amp;B33,'📅 Daily Vitals Log'!B:B,"&lt;="&amp;B33+6),1),""))</f>
        <v/>
      </c>
      <c r="H33" s="11" t="str">
        <f>IF(B33="","",IFERROR(ROUND(AVERAGEIFS('📅 Daily Vitals Log'!H:H,'📅 Daily Vitals Log'!B:B,"&gt;="&amp;B33,'📅 Daily Vitals Log'!B:B,"&lt;="&amp;B33+6),2),""))</f>
        <v/>
      </c>
      <c r="I33" s="12" t="str">
        <f>IF(B33="","",IFERROR(ROUND(AVERAGEIFS('📅 Daily Vitals Log'!I:I,'📅 Daily Vitals Log'!B:B,"&gt;="&amp;B33,'📅 Daily Vitals Log'!B:B,"&lt;="&amp;B33+6),0),""))</f>
        <v/>
      </c>
      <c r="J33" s="12" t="str">
        <f>IF(B33="","",IFERROR(ROUND(AVERAGEIFS('📅 Daily Vitals Log'!J:J,'📅 Daily Vitals Log'!B:B,"&gt;="&amp;B33,'📅 Daily Vitals Log'!B:B,"&lt;="&amp;B33+6),0),""))</f>
        <v/>
      </c>
      <c r="K33" s="12" t="str">
        <f>IF(B33="","",IFERROR(ROUND(AVERAGEIFS('📅 Daily Vitals Log'!M:M,'📅 Daily Vitals Log'!B:B,"&gt;="&amp;B33,'📅 Daily Vitals Log'!B:B,"&lt;="&amp;B33+6),0),""))</f>
        <v/>
      </c>
      <c r="L33" s="12" t="str">
        <f>IF(B33="","",IFERROR(SUMIFS('📅 Daily Vitals Log'!I:I,'📅 Daily Vitals Log'!B:B,"&gt;="&amp;B33,'📅 Daily Vitals Log'!B:B,"&lt;="&amp;B33+6)-SUMIFS('📅 Daily Vitals Log'!J:J,'📅 Daily Vitals Log'!B:B,"&gt;="&amp;B33,'📅 Daily Vitals Log'!B:B,"&lt;="&amp;B33+6),""))</f>
        <v/>
      </c>
      <c r="M33" s="13" t="str">
        <f>IF(B33="","",COUNTIFS('📅 Daily Vitals Log'!B:B,"&gt;="&amp;B33,'📅 Daily Vitals Log'!B:B,"&lt;="&amp;B33+6,'📅 Daily Vitals Log'!F:F,"&lt;94"))</f>
        <v/>
      </c>
      <c r="N33" s="13" t="str">
        <f>IF(B33="","",SUMPRODUCT(('📅 Daily Vitals Log'!$B$4:$B$113&gt;=B33)*('📅 Daily Vitals Log'!$B$4:$B$113&lt;=B33+6)*('📅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33" s="8"/>
    </row>
    <row r="34" spans="2:15" ht="19.5" customHeight="1" x14ac:dyDescent="0.25">
      <c r="B34" s="9" t="str">
        <f>IF(B33="","",IF(B33+7&gt;MAX('📅 Daily Vitals Log'!$B$4:$B$113),"",B33+7))</f>
        <v/>
      </c>
      <c r="C34" s="9" t="str">
        <f t="shared" si="0"/>
        <v/>
      </c>
      <c r="D34" s="10" t="str">
        <f>IF(B34="","",IFERROR(ROUND(AVERAGEIFS('📅 Daily Vitals Log'!C:C,'📅 Daily Vitals Log'!B:B,"&gt;="&amp;B34,'📅 Daily Vitals Log'!B:B,"&lt;="&amp;B34+6),1),""))</f>
        <v/>
      </c>
      <c r="E34" s="10" t="str">
        <f>IF(B34="","",IFERROR(ROUND(AVERAGEIFS('📅 Daily Vitals Log'!D:D,'📅 Daily Vitals Log'!B:B,"&gt;="&amp;B34,'📅 Daily Vitals Log'!B:B,"&lt;="&amp;B34+6),1),""))</f>
        <v/>
      </c>
      <c r="F34" s="10" t="str">
        <f>IF(B34="","",IFERROR(ROUND(AVERAGEIFS('📅 Daily Vitals Log'!E:E,'📅 Daily Vitals Log'!B:B,"&gt;="&amp;B34,'📅 Daily Vitals Log'!B:B,"&lt;="&amp;B34+6),1),""))</f>
        <v/>
      </c>
      <c r="G34" s="10" t="str">
        <f>IF(B34="","",IFERROR(ROUND(AVERAGEIFS('📅 Daily Vitals Log'!F:F,'📅 Daily Vitals Log'!B:B,"&gt;="&amp;B34,'📅 Daily Vitals Log'!B:B,"&lt;="&amp;B34+6),1),""))</f>
        <v/>
      </c>
      <c r="H34" s="11" t="str">
        <f>IF(B34="","",IFERROR(ROUND(AVERAGEIFS('📅 Daily Vitals Log'!H:H,'📅 Daily Vitals Log'!B:B,"&gt;="&amp;B34,'📅 Daily Vitals Log'!B:B,"&lt;="&amp;B34+6),2),""))</f>
        <v/>
      </c>
      <c r="I34" s="12" t="str">
        <f>IF(B34="","",IFERROR(ROUND(AVERAGEIFS('📅 Daily Vitals Log'!I:I,'📅 Daily Vitals Log'!B:B,"&gt;="&amp;B34,'📅 Daily Vitals Log'!B:B,"&lt;="&amp;B34+6),0),""))</f>
        <v/>
      </c>
      <c r="J34" s="12" t="str">
        <f>IF(B34="","",IFERROR(ROUND(AVERAGEIFS('📅 Daily Vitals Log'!J:J,'📅 Daily Vitals Log'!B:B,"&gt;="&amp;B34,'📅 Daily Vitals Log'!B:B,"&lt;="&amp;B34+6),0),""))</f>
        <v/>
      </c>
      <c r="K34" s="12" t="str">
        <f>IF(B34="","",IFERROR(ROUND(AVERAGEIFS('📅 Daily Vitals Log'!M:M,'📅 Daily Vitals Log'!B:B,"&gt;="&amp;B34,'📅 Daily Vitals Log'!B:B,"&lt;="&amp;B34+6),0),""))</f>
        <v/>
      </c>
      <c r="L34" s="12" t="str">
        <f>IF(B34="","",IFERROR(SUMIFS('📅 Daily Vitals Log'!I:I,'📅 Daily Vitals Log'!B:B,"&gt;="&amp;B34,'📅 Daily Vitals Log'!B:B,"&lt;="&amp;B34+6)-SUMIFS('📅 Daily Vitals Log'!J:J,'📅 Daily Vitals Log'!B:B,"&gt;="&amp;B34,'📅 Daily Vitals Log'!B:B,"&lt;="&amp;B34+6),""))</f>
        <v/>
      </c>
      <c r="M34" s="13" t="str">
        <f>IF(B34="","",COUNTIFS('📅 Daily Vitals Log'!B:B,"&gt;="&amp;B34,'📅 Daily Vitals Log'!B:B,"&lt;="&amp;B34+6,'📅 Daily Vitals Log'!F:F,"&lt;94"))</f>
        <v/>
      </c>
      <c r="N34" s="13" t="str">
        <f>IF(B34="","",SUMPRODUCT(('📅 Daily Vitals Log'!$B$4:$B$113&gt;=B34)*('📅 Daily Vitals Log'!$B$4:$B$113&lt;=B34+6)*('📅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34" s="8"/>
    </row>
    <row r="35" spans="2:15" ht="19.5" customHeight="1" x14ac:dyDescent="0.25">
      <c r="B35" s="9" t="str">
        <f>IF(B34="","",IF(B34+7&gt;MAX('📅 Daily Vitals Log'!$B$4:$B$113),"",B34+7))</f>
        <v/>
      </c>
      <c r="C35" s="9" t="str">
        <f t="shared" si="0"/>
        <v/>
      </c>
      <c r="D35" s="10" t="str">
        <f>IF(B35="","",IFERROR(ROUND(AVERAGEIFS('📅 Daily Vitals Log'!C:C,'📅 Daily Vitals Log'!B:B,"&gt;="&amp;B35,'📅 Daily Vitals Log'!B:B,"&lt;="&amp;B35+6),1),""))</f>
        <v/>
      </c>
      <c r="E35" s="10" t="str">
        <f>IF(B35="","",IFERROR(ROUND(AVERAGEIFS('📅 Daily Vitals Log'!D:D,'📅 Daily Vitals Log'!B:B,"&gt;="&amp;B35,'📅 Daily Vitals Log'!B:B,"&lt;="&amp;B35+6),1),""))</f>
        <v/>
      </c>
      <c r="F35" s="10" t="str">
        <f>IF(B35="","",IFERROR(ROUND(AVERAGEIFS('📅 Daily Vitals Log'!E:E,'📅 Daily Vitals Log'!B:B,"&gt;="&amp;B35,'📅 Daily Vitals Log'!B:B,"&lt;="&amp;B35+6),1),""))</f>
        <v/>
      </c>
      <c r="G35" s="10" t="str">
        <f>IF(B35="","",IFERROR(ROUND(AVERAGEIFS('📅 Daily Vitals Log'!F:F,'📅 Daily Vitals Log'!B:B,"&gt;="&amp;B35,'📅 Daily Vitals Log'!B:B,"&lt;="&amp;B35+6),1),""))</f>
        <v/>
      </c>
      <c r="H35" s="11" t="str">
        <f>IF(B35="","",IFERROR(ROUND(AVERAGEIFS('📅 Daily Vitals Log'!H:H,'📅 Daily Vitals Log'!B:B,"&gt;="&amp;B35,'📅 Daily Vitals Log'!B:B,"&lt;="&amp;B35+6),2),""))</f>
        <v/>
      </c>
      <c r="I35" s="12" t="str">
        <f>IF(B35="","",IFERROR(ROUND(AVERAGEIFS('📅 Daily Vitals Log'!I:I,'📅 Daily Vitals Log'!B:B,"&gt;="&amp;B35,'📅 Daily Vitals Log'!B:B,"&lt;="&amp;B35+6),0),""))</f>
        <v/>
      </c>
      <c r="J35" s="12" t="str">
        <f>IF(B35="","",IFERROR(ROUND(AVERAGEIFS('📅 Daily Vitals Log'!J:J,'📅 Daily Vitals Log'!B:B,"&gt;="&amp;B35,'📅 Daily Vitals Log'!B:B,"&lt;="&amp;B35+6),0),""))</f>
        <v/>
      </c>
      <c r="K35" s="12" t="str">
        <f>IF(B35="","",IFERROR(ROUND(AVERAGEIFS('📅 Daily Vitals Log'!M:M,'📅 Daily Vitals Log'!B:B,"&gt;="&amp;B35,'📅 Daily Vitals Log'!B:B,"&lt;="&amp;B35+6),0),""))</f>
        <v/>
      </c>
      <c r="L35" s="12" t="str">
        <f>IF(B35="","",IFERROR(SUMIFS('📅 Daily Vitals Log'!I:I,'📅 Daily Vitals Log'!B:B,"&gt;="&amp;B35,'📅 Daily Vitals Log'!B:B,"&lt;="&amp;B35+6)-SUMIFS('📅 Daily Vitals Log'!J:J,'📅 Daily Vitals Log'!B:B,"&gt;="&amp;B35,'📅 Daily Vitals Log'!B:B,"&lt;="&amp;B35+6),""))</f>
        <v/>
      </c>
      <c r="M35" s="13" t="str">
        <f>IF(B35="","",COUNTIFS('📅 Daily Vitals Log'!B:B,"&gt;="&amp;B35,'📅 Daily Vitals Log'!B:B,"&lt;="&amp;B35+6,'📅 Daily Vitals Log'!F:F,"&lt;94"))</f>
        <v/>
      </c>
      <c r="N35" s="13" t="str">
        <f>IF(B35="","",SUMPRODUCT(('📅 Daily Vitals Log'!$B$4:$B$113&gt;=B35)*('📅 Daily Vitals Log'!$B$4:$B$113&lt;=B35+6)*('📅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35" s="8"/>
    </row>
    <row r="36" spans="2:15" ht="19.5" customHeight="1" x14ac:dyDescent="0.25">
      <c r="B36" s="9" t="str">
        <f>IF(B35="","",IF(B35+7&gt;MAX('📅 Daily Vitals Log'!$B$4:$B$113),"",B35+7))</f>
        <v/>
      </c>
      <c r="C36" s="9" t="str">
        <f t="shared" si="0"/>
        <v/>
      </c>
      <c r="D36" s="10" t="str">
        <f>IF(B36="","",IFERROR(ROUND(AVERAGEIFS('📅 Daily Vitals Log'!C:C,'📅 Daily Vitals Log'!B:B,"&gt;="&amp;B36,'📅 Daily Vitals Log'!B:B,"&lt;="&amp;B36+6),1),""))</f>
        <v/>
      </c>
      <c r="E36" s="10" t="str">
        <f>IF(B36="","",IFERROR(ROUND(AVERAGEIFS('📅 Daily Vitals Log'!D:D,'📅 Daily Vitals Log'!B:B,"&gt;="&amp;B36,'📅 Daily Vitals Log'!B:B,"&lt;="&amp;B36+6),1),""))</f>
        <v/>
      </c>
      <c r="F36" s="10" t="str">
        <f>IF(B36="","",IFERROR(ROUND(AVERAGEIFS('📅 Daily Vitals Log'!E:E,'📅 Daily Vitals Log'!B:B,"&gt;="&amp;B36,'📅 Daily Vitals Log'!B:B,"&lt;="&amp;B36+6),1),""))</f>
        <v/>
      </c>
      <c r="G36" s="10" t="str">
        <f>IF(B36="","",IFERROR(ROUND(AVERAGEIFS('📅 Daily Vitals Log'!F:F,'📅 Daily Vitals Log'!B:B,"&gt;="&amp;B36,'📅 Daily Vitals Log'!B:B,"&lt;="&amp;B36+6),1),""))</f>
        <v/>
      </c>
      <c r="H36" s="11" t="str">
        <f>IF(B36="","",IFERROR(ROUND(AVERAGEIFS('📅 Daily Vitals Log'!H:H,'📅 Daily Vitals Log'!B:B,"&gt;="&amp;B36,'📅 Daily Vitals Log'!B:B,"&lt;="&amp;B36+6),2),""))</f>
        <v/>
      </c>
      <c r="I36" s="12" t="str">
        <f>IF(B36="","",IFERROR(ROUND(AVERAGEIFS('📅 Daily Vitals Log'!I:I,'📅 Daily Vitals Log'!B:B,"&gt;="&amp;B36,'📅 Daily Vitals Log'!B:B,"&lt;="&amp;B36+6),0),""))</f>
        <v/>
      </c>
      <c r="J36" s="12" t="str">
        <f>IF(B36="","",IFERROR(ROUND(AVERAGEIFS('📅 Daily Vitals Log'!J:J,'📅 Daily Vitals Log'!B:B,"&gt;="&amp;B36,'📅 Daily Vitals Log'!B:B,"&lt;="&amp;B36+6),0),""))</f>
        <v/>
      </c>
      <c r="K36" s="12" t="str">
        <f>IF(B36="","",IFERROR(ROUND(AVERAGEIFS('📅 Daily Vitals Log'!M:M,'📅 Daily Vitals Log'!B:B,"&gt;="&amp;B36,'📅 Daily Vitals Log'!B:B,"&lt;="&amp;B36+6),0),""))</f>
        <v/>
      </c>
      <c r="L36" s="12" t="str">
        <f>IF(B36="","",IFERROR(SUMIFS('📅 Daily Vitals Log'!I:I,'📅 Daily Vitals Log'!B:B,"&gt;="&amp;B36,'📅 Daily Vitals Log'!B:B,"&lt;="&amp;B36+6)-SUMIFS('📅 Daily Vitals Log'!J:J,'📅 Daily Vitals Log'!B:B,"&gt;="&amp;B36,'📅 Daily Vitals Log'!B:B,"&lt;="&amp;B36+6),""))</f>
        <v/>
      </c>
      <c r="M36" s="13" t="str">
        <f>IF(B36="","",COUNTIFS('📅 Daily Vitals Log'!B:B,"&gt;="&amp;B36,'📅 Daily Vitals Log'!B:B,"&lt;="&amp;B36+6,'📅 Daily Vitals Log'!F:F,"&lt;94"))</f>
        <v/>
      </c>
      <c r="N36" s="13" t="str">
        <f>IF(B36="","",SUMPRODUCT(('📅 Daily Vitals Log'!$B$4:$B$113&gt;=B36)*('📅 Daily Vitals Log'!$B$4:$B$113&lt;=B36+6)*('📅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36" s="8"/>
    </row>
    <row r="37" spans="2:15" ht="19.5" customHeight="1" x14ac:dyDescent="0.25">
      <c r="B37" s="9" t="str">
        <f>IF(B36="","",IF(B36+7&gt;MAX('📅 Daily Vitals Log'!$B$4:$B$113),"",B36+7))</f>
        <v/>
      </c>
      <c r="C37" s="9" t="str">
        <f t="shared" si="0"/>
        <v/>
      </c>
      <c r="D37" s="10" t="str">
        <f>IF(B37="","",IFERROR(ROUND(AVERAGEIFS('📅 Daily Vitals Log'!C:C,'📅 Daily Vitals Log'!B:B,"&gt;="&amp;B37,'📅 Daily Vitals Log'!B:B,"&lt;="&amp;B37+6),1),""))</f>
        <v/>
      </c>
      <c r="E37" s="10" t="str">
        <f>IF(B37="","",IFERROR(ROUND(AVERAGEIFS('📅 Daily Vitals Log'!D:D,'📅 Daily Vitals Log'!B:B,"&gt;="&amp;B37,'📅 Daily Vitals Log'!B:B,"&lt;="&amp;B37+6),1),""))</f>
        <v/>
      </c>
      <c r="F37" s="10" t="str">
        <f>IF(B37="","",IFERROR(ROUND(AVERAGEIFS('📅 Daily Vitals Log'!E:E,'📅 Daily Vitals Log'!B:B,"&gt;="&amp;B37,'📅 Daily Vitals Log'!B:B,"&lt;="&amp;B37+6),1),""))</f>
        <v/>
      </c>
      <c r="G37" s="10" t="str">
        <f>IF(B37="","",IFERROR(ROUND(AVERAGEIFS('📅 Daily Vitals Log'!F:F,'📅 Daily Vitals Log'!B:B,"&gt;="&amp;B37,'📅 Daily Vitals Log'!B:B,"&lt;="&amp;B37+6),1),""))</f>
        <v/>
      </c>
      <c r="H37" s="11" t="str">
        <f>IF(B37="","",IFERROR(ROUND(AVERAGEIFS('📅 Daily Vitals Log'!H:H,'📅 Daily Vitals Log'!B:B,"&gt;="&amp;B37,'📅 Daily Vitals Log'!B:B,"&lt;="&amp;B37+6),2),""))</f>
        <v/>
      </c>
      <c r="I37" s="12" t="str">
        <f>IF(B37="","",IFERROR(ROUND(AVERAGEIFS('📅 Daily Vitals Log'!I:I,'📅 Daily Vitals Log'!B:B,"&gt;="&amp;B37,'📅 Daily Vitals Log'!B:B,"&lt;="&amp;B37+6),0),""))</f>
        <v/>
      </c>
      <c r="J37" s="12" t="str">
        <f>IF(B37="","",IFERROR(ROUND(AVERAGEIFS('📅 Daily Vitals Log'!J:J,'📅 Daily Vitals Log'!B:B,"&gt;="&amp;B37,'📅 Daily Vitals Log'!B:B,"&lt;="&amp;B37+6),0),""))</f>
        <v/>
      </c>
      <c r="K37" s="12" t="str">
        <f>IF(B37="","",IFERROR(ROUND(AVERAGEIFS('📅 Daily Vitals Log'!M:M,'📅 Daily Vitals Log'!B:B,"&gt;="&amp;B37,'📅 Daily Vitals Log'!B:B,"&lt;="&amp;B37+6),0),""))</f>
        <v/>
      </c>
      <c r="L37" s="12" t="str">
        <f>IF(B37="","",IFERROR(SUMIFS('📅 Daily Vitals Log'!I:I,'📅 Daily Vitals Log'!B:B,"&gt;="&amp;B37,'📅 Daily Vitals Log'!B:B,"&lt;="&amp;B37+6)-SUMIFS('📅 Daily Vitals Log'!J:J,'📅 Daily Vitals Log'!B:B,"&gt;="&amp;B37,'📅 Daily Vitals Log'!B:B,"&lt;="&amp;B37+6),""))</f>
        <v/>
      </c>
      <c r="M37" s="13" t="str">
        <f>IF(B37="","",COUNTIFS('📅 Daily Vitals Log'!B:B,"&gt;="&amp;B37,'📅 Daily Vitals Log'!B:B,"&lt;="&amp;B37+6,'📅 Daily Vitals Log'!F:F,"&lt;94"))</f>
        <v/>
      </c>
      <c r="N37" s="13" t="str">
        <f>IF(B37="","",SUMPRODUCT(('📅 Daily Vitals Log'!$B$4:$B$113&gt;=B37)*('📅 Daily Vitals Log'!$B$4:$B$113&lt;=B37+6)*('📅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37" s="8"/>
    </row>
    <row r="38" spans="2:15" ht="19.5" customHeight="1" x14ac:dyDescent="0.25">
      <c r="B38" s="9" t="str">
        <f>IF(B37="","",IF(B37+7&gt;MAX('📅 Daily Vitals Log'!$B$4:$B$113),"",B37+7))</f>
        <v/>
      </c>
      <c r="C38" s="9" t="str">
        <f t="shared" si="0"/>
        <v/>
      </c>
      <c r="D38" s="10" t="str">
        <f>IF(B38="","",IFERROR(ROUND(AVERAGEIFS('📅 Daily Vitals Log'!C:C,'📅 Daily Vitals Log'!B:B,"&gt;="&amp;B38,'📅 Daily Vitals Log'!B:B,"&lt;="&amp;B38+6),1),""))</f>
        <v/>
      </c>
      <c r="E38" s="10" t="str">
        <f>IF(B38="","",IFERROR(ROUND(AVERAGEIFS('📅 Daily Vitals Log'!D:D,'📅 Daily Vitals Log'!B:B,"&gt;="&amp;B38,'📅 Daily Vitals Log'!B:B,"&lt;="&amp;B38+6),1),""))</f>
        <v/>
      </c>
      <c r="F38" s="10" t="str">
        <f>IF(B38="","",IFERROR(ROUND(AVERAGEIFS('📅 Daily Vitals Log'!E:E,'📅 Daily Vitals Log'!B:B,"&gt;="&amp;B38,'📅 Daily Vitals Log'!B:B,"&lt;="&amp;B38+6),1),""))</f>
        <v/>
      </c>
      <c r="G38" s="10" t="str">
        <f>IF(B38="","",IFERROR(ROUND(AVERAGEIFS('📅 Daily Vitals Log'!F:F,'📅 Daily Vitals Log'!B:B,"&gt;="&amp;B38,'📅 Daily Vitals Log'!B:B,"&lt;="&amp;B38+6),1),""))</f>
        <v/>
      </c>
      <c r="H38" s="11" t="str">
        <f>IF(B38="","",IFERROR(ROUND(AVERAGEIFS('📅 Daily Vitals Log'!H:H,'📅 Daily Vitals Log'!B:B,"&gt;="&amp;B38,'📅 Daily Vitals Log'!B:B,"&lt;="&amp;B38+6),2),""))</f>
        <v/>
      </c>
      <c r="I38" s="12" t="str">
        <f>IF(B38="","",IFERROR(ROUND(AVERAGEIFS('📅 Daily Vitals Log'!I:I,'📅 Daily Vitals Log'!B:B,"&gt;="&amp;B38,'📅 Daily Vitals Log'!B:B,"&lt;="&amp;B38+6),0),""))</f>
        <v/>
      </c>
      <c r="J38" s="12" t="str">
        <f>IF(B38="","",IFERROR(ROUND(AVERAGEIFS('📅 Daily Vitals Log'!J:J,'📅 Daily Vitals Log'!B:B,"&gt;="&amp;B38,'📅 Daily Vitals Log'!B:B,"&lt;="&amp;B38+6),0),""))</f>
        <v/>
      </c>
      <c r="K38" s="12" t="str">
        <f>IF(B38="","",IFERROR(ROUND(AVERAGEIFS('📅 Daily Vitals Log'!M:M,'📅 Daily Vitals Log'!B:B,"&gt;="&amp;B38,'📅 Daily Vitals Log'!B:B,"&lt;="&amp;B38+6),0),""))</f>
        <v/>
      </c>
      <c r="L38" s="12" t="str">
        <f>IF(B38="","",IFERROR(SUMIFS('📅 Daily Vitals Log'!I:I,'📅 Daily Vitals Log'!B:B,"&gt;="&amp;B38,'📅 Daily Vitals Log'!B:B,"&lt;="&amp;B38+6)-SUMIFS('📅 Daily Vitals Log'!J:J,'📅 Daily Vitals Log'!B:B,"&gt;="&amp;B38,'📅 Daily Vitals Log'!B:B,"&lt;="&amp;B38+6),""))</f>
        <v/>
      </c>
      <c r="M38" s="13" t="str">
        <f>IF(B38="","",COUNTIFS('📅 Daily Vitals Log'!B:B,"&gt;="&amp;B38,'📅 Daily Vitals Log'!B:B,"&lt;="&amp;B38+6,'📅 Daily Vitals Log'!F:F,"&lt;94"))</f>
        <v/>
      </c>
      <c r="N38" s="13" t="str">
        <f>IF(B38="","",SUMPRODUCT(('📅 Daily Vitals Log'!$B$4:$B$113&gt;=B38)*('📅 Daily Vitals Log'!$B$4:$B$113&lt;=B38+6)*('📅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38" s="8"/>
    </row>
    <row r="39" spans="2:15" ht="19.5" customHeight="1" x14ac:dyDescent="0.25">
      <c r="B39" s="9" t="str">
        <f>IF(B38="","",IF(B38+7&gt;MAX('📅 Daily Vitals Log'!$B$4:$B$113),"",B38+7))</f>
        <v/>
      </c>
      <c r="C39" s="9" t="str">
        <f t="shared" ref="C39:C59" si="1">IF(B39="","",B39+6)</f>
        <v/>
      </c>
      <c r="D39" s="10" t="str">
        <f>IF(B39="","",IFERROR(ROUND(AVERAGEIFS('📅 Daily Vitals Log'!C:C,'📅 Daily Vitals Log'!B:B,"&gt;="&amp;B39,'📅 Daily Vitals Log'!B:B,"&lt;="&amp;B39+6),1),""))</f>
        <v/>
      </c>
      <c r="E39" s="10" t="str">
        <f>IF(B39="","",IFERROR(ROUND(AVERAGEIFS('📅 Daily Vitals Log'!D:D,'📅 Daily Vitals Log'!B:B,"&gt;="&amp;B39,'📅 Daily Vitals Log'!B:B,"&lt;="&amp;B39+6),1),""))</f>
        <v/>
      </c>
      <c r="F39" s="10" t="str">
        <f>IF(B39="","",IFERROR(ROUND(AVERAGEIFS('📅 Daily Vitals Log'!E:E,'📅 Daily Vitals Log'!B:B,"&gt;="&amp;B39,'📅 Daily Vitals Log'!B:B,"&lt;="&amp;B39+6),1),""))</f>
        <v/>
      </c>
      <c r="G39" s="10" t="str">
        <f>IF(B39="","",IFERROR(ROUND(AVERAGEIFS('📅 Daily Vitals Log'!F:F,'📅 Daily Vitals Log'!B:B,"&gt;="&amp;B39,'📅 Daily Vitals Log'!B:B,"&lt;="&amp;B39+6),1),""))</f>
        <v/>
      </c>
      <c r="H39" s="11" t="str">
        <f>IF(B39="","",IFERROR(ROUND(AVERAGEIFS('📅 Daily Vitals Log'!H:H,'📅 Daily Vitals Log'!B:B,"&gt;="&amp;B39,'📅 Daily Vitals Log'!B:B,"&lt;="&amp;B39+6),2),""))</f>
        <v/>
      </c>
      <c r="I39" s="12" t="str">
        <f>IF(B39="","",IFERROR(ROUND(AVERAGEIFS('📅 Daily Vitals Log'!I:I,'📅 Daily Vitals Log'!B:B,"&gt;="&amp;B39,'📅 Daily Vitals Log'!B:B,"&lt;="&amp;B39+6),0),""))</f>
        <v/>
      </c>
      <c r="J39" s="12" t="str">
        <f>IF(B39="","",IFERROR(ROUND(AVERAGEIFS('📅 Daily Vitals Log'!J:J,'📅 Daily Vitals Log'!B:B,"&gt;="&amp;B39,'📅 Daily Vitals Log'!B:B,"&lt;="&amp;B39+6),0),""))</f>
        <v/>
      </c>
      <c r="K39" s="12" t="str">
        <f>IF(B39="","",IFERROR(ROUND(AVERAGEIFS('📅 Daily Vitals Log'!M:M,'📅 Daily Vitals Log'!B:B,"&gt;="&amp;B39,'📅 Daily Vitals Log'!B:B,"&lt;="&amp;B39+6),0),""))</f>
        <v/>
      </c>
      <c r="L39" s="12" t="str">
        <f>IF(B39="","",IFERROR(SUMIFS('📅 Daily Vitals Log'!I:I,'📅 Daily Vitals Log'!B:B,"&gt;="&amp;B39,'📅 Daily Vitals Log'!B:B,"&lt;="&amp;B39+6)-SUMIFS('📅 Daily Vitals Log'!J:J,'📅 Daily Vitals Log'!B:B,"&gt;="&amp;B39,'📅 Daily Vitals Log'!B:B,"&lt;="&amp;B39+6),""))</f>
        <v/>
      </c>
      <c r="M39" s="13" t="str">
        <f>IF(B39="","",COUNTIFS('📅 Daily Vitals Log'!B:B,"&gt;="&amp;B39,'📅 Daily Vitals Log'!B:B,"&lt;="&amp;B39+6,'📅 Daily Vitals Log'!F:F,"&lt;94"))</f>
        <v/>
      </c>
      <c r="N39" s="13" t="str">
        <f>IF(B39="","",SUMPRODUCT(('📅 Daily Vitals Log'!$B$4:$B$113&gt;=B39)*('📅 Daily Vitals Log'!$B$4:$B$113&lt;=B39+6)*('📅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39" s="8"/>
    </row>
    <row r="40" spans="2:15" ht="19.5" customHeight="1" x14ac:dyDescent="0.25">
      <c r="B40" s="9" t="str">
        <f>IF(B39="","",IF(B39+7&gt;MAX('📅 Daily Vitals Log'!$B$4:$B$113),"",B39+7))</f>
        <v/>
      </c>
      <c r="C40" s="9" t="str">
        <f t="shared" si="1"/>
        <v/>
      </c>
      <c r="D40" s="10" t="str">
        <f>IF(B40="","",IFERROR(ROUND(AVERAGEIFS('📅 Daily Vitals Log'!C:C,'📅 Daily Vitals Log'!B:B,"&gt;="&amp;B40,'📅 Daily Vitals Log'!B:B,"&lt;="&amp;B40+6),1),""))</f>
        <v/>
      </c>
      <c r="E40" s="10" t="str">
        <f>IF(B40="","",IFERROR(ROUND(AVERAGEIFS('📅 Daily Vitals Log'!D:D,'📅 Daily Vitals Log'!B:B,"&gt;="&amp;B40,'📅 Daily Vitals Log'!B:B,"&lt;="&amp;B40+6),1),""))</f>
        <v/>
      </c>
      <c r="F40" s="10" t="str">
        <f>IF(B40="","",IFERROR(ROUND(AVERAGEIFS('📅 Daily Vitals Log'!E:E,'📅 Daily Vitals Log'!B:B,"&gt;="&amp;B40,'📅 Daily Vitals Log'!B:B,"&lt;="&amp;B40+6),1),""))</f>
        <v/>
      </c>
      <c r="G40" s="10" t="str">
        <f>IF(B40="","",IFERROR(ROUND(AVERAGEIFS('📅 Daily Vitals Log'!F:F,'📅 Daily Vitals Log'!B:B,"&gt;="&amp;B40,'📅 Daily Vitals Log'!B:B,"&lt;="&amp;B40+6),1),""))</f>
        <v/>
      </c>
      <c r="H40" s="11" t="str">
        <f>IF(B40="","",IFERROR(ROUND(AVERAGEIFS('📅 Daily Vitals Log'!H:H,'📅 Daily Vitals Log'!B:B,"&gt;="&amp;B40,'📅 Daily Vitals Log'!B:B,"&lt;="&amp;B40+6),2),""))</f>
        <v/>
      </c>
      <c r="I40" s="12" t="str">
        <f>IF(B40="","",IFERROR(ROUND(AVERAGEIFS('📅 Daily Vitals Log'!I:I,'📅 Daily Vitals Log'!B:B,"&gt;="&amp;B40,'📅 Daily Vitals Log'!B:B,"&lt;="&amp;B40+6),0),""))</f>
        <v/>
      </c>
      <c r="J40" s="12" t="str">
        <f>IF(B40="","",IFERROR(ROUND(AVERAGEIFS('📅 Daily Vitals Log'!J:J,'📅 Daily Vitals Log'!B:B,"&gt;="&amp;B40,'📅 Daily Vitals Log'!B:B,"&lt;="&amp;B40+6),0),""))</f>
        <v/>
      </c>
      <c r="K40" s="12" t="str">
        <f>IF(B40="","",IFERROR(ROUND(AVERAGEIFS('📅 Daily Vitals Log'!M:M,'📅 Daily Vitals Log'!B:B,"&gt;="&amp;B40,'📅 Daily Vitals Log'!B:B,"&lt;="&amp;B40+6),0),""))</f>
        <v/>
      </c>
      <c r="L40" s="12" t="str">
        <f>IF(B40="","",IFERROR(SUMIFS('📅 Daily Vitals Log'!I:I,'📅 Daily Vitals Log'!B:B,"&gt;="&amp;B40,'📅 Daily Vitals Log'!B:B,"&lt;="&amp;B40+6)-SUMIFS('📅 Daily Vitals Log'!J:J,'📅 Daily Vitals Log'!B:B,"&gt;="&amp;B40,'📅 Daily Vitals Log'!B:B,"&lt;="&amp;B40+6),""))</f>
        <v/>
      </c>
      <c r="M40" s="13" t="str">
        <f>IF(B40="","",COUNTIFS('📅 Daily Vitals Log'!B:B,"&gt;="&amp;B40,'📅 Daily Vitals Log'!B:B,"&lt;="&amp;B40+6,'📅 Daily Vitals Log'!F:F,"&lt;94"))</f>
        <v/>
      </c>
      <c r="N40" s="13" t="str">
        <f>IF(B40="","",SUMPRODUCT(('📅 Daily Vitals Log'!$B$4:$B$113&gt;=B40)*('📅 Daily Vitals Log'!$B$4:$B$113&lt;=B40+6)*('📅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40" s="8"/>
    </row>
    <row r="41" spans="2:15" ht="19.5" customHeight="1" x14ac:dyDescent="0.25">
      <c r="B41" s="9" t="str">
        <f>IF(B40="","",IF(B40+7&gt;MAX('📅 Daily Vitals Log'!$B$4:$B$113),"",B40+7))</f>
        <v/>
      </c>
      <c r="C41" s="9" t="str">
        <f t="shared" si="1"/>
        <v/>
      </c>
      <c r="D41" s="10" t="str">
        <f>IF(B41="","",IFERROR(ROUND(AVERAGEIFS('📅 Daily Vitals Log'!C:C,'📅 Daily Vitals Log'!B:B,"&gt;="&amp;B41,'📅 Daily Vitals Log'!B:B,"&lt;="&amp;B41+6),1),""))</f>
        <v/>
      </c>
      <c r="E41" s="10" t="str">
        <f>IF(B41="","",IFERROR(ROUND(AVERAGEIFS('📅 Daily Vitals Log'!D:D,'📅 Daily Vitals Log'!B:B,"&gt;="&amp;B41,'📅 Daily Vitals Log'!B:B,"&lt;="&amp;B41+6),1),""))</f>
        <v/>
      </c>
      <c r="F41" s="10" t="str">
        <f>IF(B41="","",IFERROR(ROUND(AVERAGEIFS('📅 Daily Vitals Log'!E:E,'📅 Daily Vitals Log'!B:B,"&gt;="&amp;B41,'📅 Daily Vitals Log'!B:B,"&lt;="&amp;B41+6),1),""))</f>
        <v/>
      </c>
      <c r="G41" s="10" t="str">
        <f>IF(B41="","",IFERROR(ROUND(AVERAGEIFS('📅 Daily Vitals Log'!F:F,'📅 Daily Vitals Log'!B:B,"&gt;="&amp;B41,'📅 Daily Vitals Log'!B:B,"&lt;="&amp;B41+6),1),""))</f>
        <v/>
      </c>
      <c r="H41" s="11" t="str">
        <f>IF(B41="","",IFERROR(ROUND(AVERAGEIFS('📅 Daily Vitals Log'!H:H,'📅 Daily Vitals Log'!B:B,"&gt;="&amp;B41,'📅 Daily Vitals Log'!B:B,"&lt;="&amp;B41+6),2),""))</f>
        <v/>
      </c>
      <c r="I41" s="12" t="str">
        <f>IF(B41="","",IFERROR(ROUND(AVERAGEIFS('📅 Daily Vitals Log'!I:I,'📅 Daily Vitals Log'!B:B,"&gt;="&amp;B41,'📅 Daily Vitals Log'!B:B,"&lt;="&amp;B41+6),0),""))</f>
        <v/>
      </c>
      <c r="J41" s="12" t="str">
        <f>IF(B41="","",IFERROR(ROUND(AVERAGEIFS('📅 Daily Vitals Log'!J:J,'📅 Daily Vitals Log'!B:B,"&gt;="&amp;B41,'📅 Daily Vitals Log'!B:B,"&lt;="&amp;B41+6),0),""))</f>
        <v/>
      </c>
      <c r="K41" s="12" t="str">
        <f>IF(B41="","",IFERROR(ROUND(AVERAGEIFS('📅 Daily Vitals Log'!M:M,'📅 Daily Vitals Log'!B:B,"&gt;="&amp;B41,'📅 Daily Vitals Log'!B:B,"&lt;="&amp;B41+6),0),""))</f>
        <v/>
      </c>
      <c r="L41" s="12" t="str">
        <f>IF(B41="","",IFERROR(SUMIFS('📅 Daily Vitals Log'!I:I,'📅 Daily Vitals Log'!B:B,"&gt;="&amp;B41,'📅 Daily Vitals Log'!B:B,"&lt;="&amp;B41+6)-SUMIFS('📅 Daily Vitals Log'!J:J,'📅 Daily Vitals Log'!B:B,"&gt;="&amp;B41,'📅 Daily Vitals Log'!B:B,"&lt;="&amp;B41+6),""))</f>
        <v/>
      </c>
      <c r="M41" s="13" t="str">
        <f>IF(B41="","",COUNTIFS('📅 Daily Vitals Log'!B:B,"&gt;="&amp;B41,'📅 Daily Vitals Log'!B:B,"&lt;="&amp;B41+6,'📅 Daily Vitals Log'!F:F,"&lt;94"))</f>
        <v/>
      </c>
      <c r="N41" s="13" t="str">
        <f>IF(B41="","",SUMPRODUCT(('📅 Daily Vitals Log'!$B$4:$B$113&gt;=B41)*('📅 Daily Vitals Log'!$B$4:$B$113&lt;=B41+6)*('📅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41" s="8"/>
    </row>
    <row r="42" spans="2:15" ht="19.5" customHeight="1" x14ac:dyDescent="0.25">
      <c r="B42" s="9" t="str">
        <f>IF(B41="","",IF(B41+7&gt;MAX('📅 Daily Vitals Log'!$B$4:$B$113),"",B41+7))</f>
        <v/>
      </c>
      <c r="C42" s="9" t="str">
        <f t="shared" si="1"/>
        <v/>
      </c>
      <c r="D42" s="10" t="str">
        <f>IF(B42="","",IFERROR(ROUND(AVERAGEIFS('📅 Daily Vitals Log'!C:C,'📅 Daily Vitals Log'!B:B,"&gt;="&amp;B42,'📅 Daily Vitals Log'!B:B,"&lt;="&amp;B42+6),1),""))</f>
        <v/>
      </c>
      <c r="E42" s="10" t="str">
        <f>IF(B42="","",IFERROR(ROUND(AVERAGEIFS('📅 Daily Vitals Log'!D:D,'📅 Daily Vitals Log'!B:B,"&gt;="&amp;B42,'📅 Daily Vitals Log'!B:B,"&lt;="&amp;B42+6),1),""))</f>
        <v/>
      </c>
      <c r="F42" s="10" t="str">
        <f>IF(B42="","",IFERROR(ROUND(AVERAGEIFS('📅 Daily Vitals Log'!E:E,'📅 Daily Vitals Log'!B:B,"&gt;="&amp;B42,'📅 Daily Vitals Log'!B:B,"&lt;="&amp;B42+6),1),""))</f>
        <v/>
      </c>
      <c r="G42" s="10" t="str">
        <f>IF(B42="","",IFERROR(ROUND(AVERAGEIFS('📅 Daily Vitals Log'!F:F,'📅 Daily Vitals Log'!B:B,"&gt;="&amp;B42,'📅 Daily Vitals Log'!B:B,"&lt;="&amp;B42+6),1),""))</f>
        <v/>
      </c>
      <c r="H42" s="11" t="str">
        <f>IF(B42="","",IFERROR(ROUND(AVERAGEIFS('📅 Daily Vitals Log'!H:H,'📅 Daily Vitals Log'!B:B,"&gt;="&amp;B42,'📅 Daily Vitals Log'!B:B,"&lt;="&amp;B42+6),2),""))</f>
        <v/>
      </c>
      <c r="I42" s="12" t="str">
        <f>IF(B42="","",IFERROR(ROUND(AVERAGEIFS('📅 Daily Vitals Log'!I:I,'📅 Daily Vitals Log'!B:B,"&gt;="&amp;B42,'📅 Daily Vitals Log'!B:B,"&lt;="&amp;B42+6),0),""))</f>
        <v/>
      </c>
      <c r="J42" s="12" t="str">
        <f>IF(B42="","",IFERROR(ROUND(AVERAGEIFS('📅 Daily Vitals Log'!J:J,'📅 Daily Vitals Log'!B:B,"&gt;="&amp;B42,'📅 Daily Vitals Log'!B:B,"&lt;="&amp;B42+6),0),""))</f>
        <v/>
      </c>
      <c r="K42" s="12" t="str">
        <f>IF(B42="","",IFERROR(ROUND(AVERAGEIFS('📅 Daily Vitals Log'!M:M,'📅 Daily Vitals Log'!B:B,"&gt;="&amp;B42,'📅 Daily Vitals Log'!B:B,"&lt;="&amp;B42+6),0),""))</f>
        <v/>
      </c>
      <c r="L42" s="12" t="str">
        <f>IF(B42="","",IFERROR(SUMIFS('📅 Daily Vitals Log'!I:I,'📅 Daily Vitals Log'!B:B,"&gt;="&amp;B42,'📅 Daily Vitals Log'!B:B,"&lt;="&amp;B42+6)-SUMIFS('📅 Daily Vitals Log'!J:J,'📅 Daily Vitals Log'!B:B,"&gt;="&amp;B42,'📅 Daily Vitals Log'!B:B,"&lt;="&amp;B42+6),""))</f>
        <v/>
      </c>
      <c r="M42" s="13" t="str">
        <f>IF(B42="","",COUNTIFS('📅 Daily Vitals Log'!B:B,"&gt;="&amp;B42,'📅 Daily Vitals Log'!B:B,"&lt;="&amp;B42+6,'📅 Daily Vitals Log'!F:F,"&lt;94"))</f>
        <v/>
      </c>
      <c r="N42" s="13" t="str">
        <f>IF(B42="","",SUMPRODUCT(('📅 Daily Vitals Log'!$B$4:$B$113&gt;=B42)*('📅 Daily Vitals Log'!$B$4:$B$113&lt;=B42+6)*('📅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42" s="8"/>
    </row>
    <row r="43" spans="2:15" ht="19.5" customHeight="1" x14ac:dyDescent="0.25">
      <c r="B43" s="9" t="str">
        <f>IF(B42="","",IF(B42+7&gt;MAX('📅 Daily Vitals Log'!$B$4:$B$113),"",B42+7))</f>
        <v/>
      </c>
      <c r="C43" s="9" t="str">
        <f t="shared" si="1"/>
        <v/>
      </c>
      <c r="D43" s="10" t="str">
        <f>IF(B43="","",IFERROR(ROUND(AVERAGEIFS('📅 Daily Vitals Log'!C:C,'📅 Daily Vitals Log'!B:B,"&gt;="&amp;B43,'📅 Daily Vitals Log'!B:B,"&lt;="&amp;B43+6),1),""))</f>
        <v/>
      </c>
      <c r="E43" s="10" t="str">
        <f>IF(B43="","",IFERROR(ROUND(AVERAGEIFS('📅 Daily Vitals Log'!D:D,'📅 Daily Vitals Log'!B:B,"&gt;="&amp;B43,'📅 Daily Vitals Log'!B:B,"&lt;="&amp;B43+6),1),""))</f>
        <v/>
      </c>
      <c r="F43" s="10" t="str">
        <f>IF(B43="","",IFERROR(ROUND(AVERAGEIFS('📅 Daily Vitals Log'!E:E,'📅 Daily Vitals Log'!B:B,"&gt;="&amp;B43,'📅 Daily Vitals Log'!B:B,"&lt;="&amp;B43+6),1),""))</f>
        <v/>
      </c>
      <c r="G43" s="10" t="str">
        <f>IF(B43="","",IFERROR(ROUND(AVERAGEIFS('📅 Daily Vitals Log'!F:F,'📅 Daily Vitals Log'!B:B,"&gt;="&amp;B43,'📅 Daily Vitals Log'!B:B,"&lt;="&amp;B43+6),1),""))</f>
        <v/>
      </c>
      <c r="H43" s="11" t="str">
        <f>IF(B43="","",IFERROR(ROUND(AVERAGEIFS('📅 Daily Vitals Log'!H:H,'📅 Daily Vitals Log'!B:B,"&gt;="&amp;B43,'📅 Daily Vitals Log'!B:B,"&lt;="&amp;B43+6),2),""))</f>
        <v/>
      </c>
      <c r="I43" s="12" t="str">
        <f>IF(B43="","",IFERROR(ROUND(AVERAGEIFS('📅 Daily Vitals Log'!I:I,'📅 Daily Vitals Log'!B:B,"&gt;="&amp;B43,'📅 Daily Vitals Log'!B:B,"&lt;="&amp;B43+6),0),""))</f>
        <v/>
      </c>
      <c r="J43" s="12" t="str">
        <f>IF(B43="","",IFERROR(ROUND(AVERAGEIFS('📅 Daily Vitals Log'!J:J,'📅 Daily Vitals Log'!B:B,"&gt;="&amp;B43,'📅 Daily Vitals Log'!B:B,"&lt;="&amp;B43+6),0),""))</f>
        <v/>
      </c>
      <c r="K43" s="12" t="str">
        <f>IF(B43="","",IFERROR(ROUND(AVERAGEIFS('📅 Daily Vitals Log'!M:M,'📅 Daily Vitals Log'!B:B,"&gt;="&amp;B43,'📅 Daily Vitals Log'!B:B,"&lt;="&amp;B43+6),0),""))</f>
        <v/>
      </c>
      <c r="L43" s="12" t="str">
        <f>IF(B43="","",IFERROR(SUMIFS('📅 Daily Vitals Log'!I:I,'📅 Daily Vitals Log'!B:B,"&gt;="&amp;B43,'📅 Daily Vitals Log'!B:B,"&lt;="&amp;B43+6)-SUMIFS('📅 Daily Vitals Log'!J:J,'📅 Daily Vitals Log'!B:B,"&gt;="&amp;B43,'📅 Daily Vitals Log'!B:B,"&lt;="&amp;B43+6),""))</f>
        <v/>
      </c>
      <c r="M43" s="13" t="str">
        <f>IF(B43="","",COUNTIFS('📅 Daily Vitals Log'!B:B,"&gt;="&amp;B43,'📅 Daily Vitals Log'!B:B,"&lt;="&amp;B43+6,'📅 Daily Vitals Log'!F:F,"&lt;94"))</f>
        <v/>
      </c>
      <c r="N43" s="13" t="str">
        <f>IF(B43="","",SUMPRODUCT(('📅 Daily Vitals Log'!$B$4:$B$113&gt;=B43)*('📅 Daily Vitals Log'!$B$4:$B$113&lt;=B43+6)*('📅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43" s="8"/>
    </row>
    <row r="44" spans="2:15" ht="19.5" customHeight="1" x14ac:dyDescent="0.25">
      <c r="B44" s="9" t="str">
        <f>IF(B43="","",IF(B43+7&gt;MAX('📅 Daily Vitals Log'!$B$4:$B$113),"",B43+7))</f>
        <v/>
      </c>
      <c r="C44" s="9" t="str">
        <f t="shared" si="1"/>
        <v/>
      </c>
      <c r="D44" s="10" t="str">
        <f>IF(B44="","",IFERROR(ROUND(AVERAGEIFS('📅 Daily Vitals Log'!C:C,'📅 Daily Vitals Log'!B:B,"&gt;="&amp;B44,'📅 Daily Vitals Log'!B:B,"&lt;="&amp;B44+6),1),""))</f>
        <v/>
      </c>
      <c r="E44" s="10" t="str">
        <f>IF(B44="","",IFERROR(ROUND(AVERAGEIFS('📅 Daily Vitals Log'!D:D,'📅 Daily Vitals Log'!B:B,"&gt;="&amp;B44,'📅 Daily Vitals Log'!B:B,"&lt;="&amp;B44+6),1),""))</f>
        <v/>
      </c>
      <c r="F44" s="10" t="str">
        <f>IF(B44="","",IFERROR(ROUND(AVERAGEIFS('📅 Daily Vitals Log'!E:E,'📅 Daily Vitals Log'!B:B,"&gt;="&amp;B44,'📅 Daily Vitals Log'!B:B,"&lt;="&amp;B44+6),1),""))</f>
        <v/>
      </c>
      <c r="G44" s="10" t="str">
        <f>IF(B44="","",IFERROR(ROUND(AVERAGEIFS('📅 Daily Vitals Log'!F:F,'📅 Daily Vitals Log'!B:B,"&gt;="&amp;B44,'📅 Daily Vitals Log'!B:B,"&lt;="&amp;B44+6),1),""))</f>
        <v/>
      </c>
      <c r="H44" s="11" t="str">
        <f>IF(B44="","",IFERROR(ROUND(AVERAGEIFS('📅 Daily Vitals Log'!H:H,'📅 Daily Vitals Log'!B:B,"&gt;="&amp;B44,'📅 Daily Vitals Log'!B:B,"&lt;="&amp;B44+6),2),""))</f>
        <v/>
      </c>
      <c r="I44" s="12" t="str">
        <f>IF(B44="","",IFERROR(ROUND(AVERAGEIFS('📅 Daily Vitals Log'!I:I,'📅 Daily Vitals Log'!B:B,"&gt;="&amp;B44,'📅 Daily Vitals Log'!B:B,"&lt;="&amp;B44+6),0),""))</f>
        <v/>
      </c>
      <c r="J44" s="12" t="str">
        <f>IF(B44="","",IFERROR(ROUND(AVERAGEIFS('📅 Daily Vitals Log'!J:J,'📅 Daily Vitals Log'!B:B,"&gt;="&amp;B44,'📅 Daily Vitals Log'!B:B,"&lt;="&amp;B44+6),0),""))</f>
        <v/>
      </c>
      <c r="K44" s="12" t="str">
        <f>IF(B44="","",IFERROR(ROUND(AVERAGEIFS('📅 Daily Vitals Log'!M:M,'📅 Daily Vitals Log'!B:B,"&gt;="&amp;B44,'📅 Daily Vitals Log'!B:B,"&lt;="&amp;B44+6),0),""))</f>
        <v/>
      </c>
      <c r="L44" s="12" t="str">
        <f>IF(B44="","",IFERROR(SUMIFS('📅 Daily Vitals Log'!I:I,'📅 Daily Vitals Log'!B:B,"&gt;="&amp;B44,'📅 Daily Vitals Log'!B:B,"&lt;="&amp;B44+6)-SUMIFS('📅 Daily Vitals Log'!J:J,'📅 Daily Vitals Log'!B:B,"&gt;="&amp;B44,'📅 Daily Vitals Log'!B:B,"&lt;="&amp;B44+6),""))</f>
        <v/>
      </c>
      <c r="M44" s="13" t="str">
        <f>IF(B44="","",COUNTIFS('📅 Daily Vitals Log'!B:B,"&gt;="&amp;B44,'📅 Daily Vitals Log'!B:B,"&lt;="&amp;B44+6,'📅 Daily Vitals Log'!F:F,"&lt;94"))</f>
        <v/>
      </c>
      <c r="N44" s="13" t="str">
        <f>IF(B44="","",SUMPRODUCT(('📅 Daily Vitals Log'!$B$4:$B$113&gt;=B44)*('📅 Daily Vitals Log'!$B$4:$B$113&lt;=B44+6)*('📅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44" s="8"/>
    </row>
    <row r="45" spans="2:15" ht="19.5" customHeight="1" x14ac:dyDescent="0.25">
      <c r="B45" s="9" t="str">
        <f>IF(B44="","",IF(B44+7&gt;MAX('📅 Daily Vitals Log'!$B$4:$B$113),"",B44+7))</f>
        <v/>
      </c>
      <c r="C45" s="9" t="str">
        <f t="shared" si="1"/>
        <v/>
      </c>
      <c r="D45" s="10" t="str">
        <f>IF(B45="","",IFERROR(ROUND(AVERAGEIFS('📅 Daily Vitals Log'!C:C,'📅 Daily Vitals Log'!B:B,"&gt;="&amp;B45,'📅 Daily Vitals Log'!B:B,"&lt;="&amp;B45+6),1),""))</f>
        <v/>
      </c>
      <c r="E45" s="10" t="str">
        <f>IF(B45="","",IFERROR(ROUND(AVERAGEIFS('📅 Daily Vitals Log'!D:D,'📅 Daily Vitals Log'!B:B,"&gt;="&amp;B45,'📅 Daily Vitals Log'!B:B,"&lt;="&amp;B45+6),1),""))</f>
        <v/>
      </c>
      <c r="F45" s="10" t="str">
        <f>IF(B45="","",IFERROR(ROUND(AVERAGEIFS('📅 Daily Vitals Log'!E:E,'📅 Daily Vitals Log'!B:B,"&gt;="&amp;B45,'📅 Daily Vitals Log'!B:B,"&lt;="&amp;B45+6),1),""))</f>
        <v/>
      </c>
      <c r="G45" s="10" t="str">
        <f>IF(B45="","",IFERROR(ROUND(AVERAGEIFS('📅 Daily Vitals Log'!F:F,'📅 Daily Vitals Log'!B:B,"&gt;="&amp;B45,'📅 Daily Vitals Log'!B:B,"&lt;="&amp;B45+6),1),""))</f>
        <v/>
      </c>
      <c r="H45" s="11" t="str">
        <f>IF(B45="","",IFERROR(ROUND(AVERAGEIFS('📅 Daily Vitals Log'!H:H,'📅 Daily Vitals Log'!B:B,"&gt;="&amp;B45,'📅 Daily Vitals Log'!B:B,"&lt;="&amp;B45+6),2),""))</f>
        <v/>
      </c>
      <c r="I45" s="12" t="str">
        <f>IF(B45="","",IFERROR(ROUND(AVERAGEIFS('📅 Daily Vitals Log'!I:I,'📅 Daily Vitals Log'!B:B,"&gt;="&amp;B45,'📅 Daily Vitals Log'!B:B,"&lt;="&amp;B45+6),0),""))</f>
        <v/>
      </c>
      <c r="J45" s="12" t="str">
        <f>IF(B45="","",IFERROR(ROUND(AVERAGEIFS('📅 Daily Vitals Log'!J:J,'📅 Daily Vitals Log'!B:B,"&gt;="&amp;B45,'📅 Daily Vitals Log'!B:B,"&lt;="&amp;B45+6),0),""))</f>
        <v/>
      </c>
      <c r="K45" s="12" t="str">
        <f>IF(B45="","",IFERROR(ROUND(AVERAGEIFS('📅 Daily Vitals Log'!M:M,'📅 Daily Vitals Log'!B:B,"&gt;="&amp;B45,'📅 Daily Vitals Log'!B:B,"&lt;="&amp;B45+6),0),""))</f>
        <v/>
      </c>
      <c r="L45" s="12" t="str">
        <f>IF(B45="","",IFERROR(SUMIFS('📅 Daily Vitals Log'!I:I,'📅 Daily Vitals Log'!B:B,"&gt;="&amp;B45,'📅 Daily Vitals Log'!B:B,"&lt;="&amp;B45+6)-SUMIFS('📅 Daily Vitals Log'!J:J,'📅 Daily Vitals Log'!B:B,"&gt;="&amp;B45,'📅 Daily Vitals Log'!B:B,"&lt;="&amp;B45+6),""))</f>
        <v/>
      </c>
      <c r="M45" s="13" t="str">
        <f>IF(B45="","",COUNTIFS('📅 Daily Vitals Log'!B:B,"&gt;="&amp;B45,'📅 Daily Vitals Log'!B:B,"&lt;="&amp;B45+6,'📅 Daily Vitals Log'!F:F,"&lt;94"))</f>
        <v/>
      </c>
      <c r="N45" s="13" t="str">
        <f>IF(B45="","",SUMPRODUCT(('📅 Daily Vitals Log'!$B$4:$B$113&gt;=B45)*('📅 Daily Vitals Log'!$B$4:$B$113&lt;=B45+6)*('📅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45" s="8"/>
    </row>
    <row r="46" spans="2:15" ht="19.5" customHeight="1" x14ac:dyDescent="0.25">
      <c r="B46" s="9" t="str">
        <f>IF(B45="","",IF(B45+7&gt;MAX('📅 Daily Vitals Log'!$B$4:$B$113),"",B45+7))</f>
        <v/>
      </c>
      <c r="C46" s="9" t="str">
        <f t="shared" si="1"/>
        <v/>
      </c>
      <c r="D46" s="10" t="str">
        <f>IF(B46="","",IFERROR(ROUND(AVERAGEIFS('📅 Daily Vitals Log'!C:C,'📅 Daily Vitals Log'!B:B,"&gt;="&amp;B46,'📅 Daily Vitals Log'!B:B,"&lt;="&amp;B46+6),1),""))</f>
        <v/>
      </c>
      <c r="E46" s="10" t="str">
        <f>IF(B46="","",IFERROR(ROUND(AVERAGEIFS('📅 Daily Vitals Log'!D:D,'📅 Daily Vitals Log'!B:B,"&gt;="&amp;B46,'📅 Daily Vitals Log'!B:B,"&lt;="&amp;B46+6),1),""))</f>
        <v/>
      </c>
      <c r="F46" s="10" t="str">
        <f>IF(B46="","",IFERROR(ROUND(AVERAGEIFS('📅 Daily Vitals Log'!E:E,'📅 Daily Vitals Log'!B:B,"&gt;="&amp;B46,'📅 Daily Vitals Log'!B:B,"&lt;="&amp;B46+6),1),""))</f>
        <v/>
      </c>
      <c r="G46" s="10" t="str">
        <f>IF(B46="","",IFERROR(ROUND(AVERAGEIFS('📅 Daily Vitals Log'!F:F,'📅 Daily Vitals Log'!B:B,"&gt;="&amp;B46,'📅 Daily Vitals Log'!B:B,"&lt;="&amp;B46+6),1),""))</f>
        <v/>
      </c>
      <c r="H46" s="11" t="str">
        <f>IF(B46="","",IFERROR(ROUND(AVERAGEIFS('📅 Daily Vitals Log'!H:H,'📅 Daily Vitals Log'!B:B,"&gt;="&amp;B46,'📅 Daily Vitals Log'!B:B,"&lt;="&amp;B46+6),2),""))</f>
        <v/>
      </c>
      <c r="I46" s="12" t="str">
        <f>IF(B46="","",IFERROR(ROUND(AVERAGEIFS('📅 Daily Vitals Log'!I:I,'📅 Daily Vitals Log'!B:B,"&gt;="&amp;B46,'📅 Daily Vitals Log'!B:B,"&lt;="&amp;B46+6),0),""))</f>
        <v/>
      </c>
      <c r="J46" s="12" t="str">
        <f>IF(B46="","",IFERROR(ROUND(AVERAGEIFS('📅 Daily Vitals Log'!J:J,'📅 Daily Vitals Log'!B:B,"&gt;="&amp;B46,'📅 Daily Vitals Log'!B:B,"&lt;="&amp;B46+6),0),""))</f>
        <v/>
      </c>
      <c r="K46" s="12" t="str">
        <f>IF(B46="","",IFERROR(ROUND(AVERAGEIFS('📅 Daily Vitals Log'!M:M,'📅 Daily Vitals Log'!B:B,"&gt;="&amp;B46,'📅 Daily Vitals Log'!B:B,"&lt;="&amp;B46+6),0),""))</f>
        <v/>
      </c>
      <c r="L46" s="12" t="str">
        <f>IF(B46="","",IFERROR(SUMIFS('📅 Daily Vitals Log'!I:I,'📅 Daily Vitals Log'!B:B,"&gt;="&amp;B46,'📅 Daily Vitals Log'!B:B,"&lt;="&amp;B46+6)-SUMIFS('📅 Daily Vitals Log'!J:J,'📅 Daily Vitals Log'!B:B,"&gt;="&amp;B46,'📅 Daily Vitals Log'!B:B,"&lt;="&amp;B46+6),""))</f>
        <v/>
      </c>
      <c r="M46" s="13" t="str">
        <f>IF(B46="","",COUNTIFS('📅 Daily Vitals Log'!B:B,"&gt;="&amp;B46,'📅 Daily Vitals Log'!B:B,"&lt;="&amp;B46+6,'📅 Daily Vitals Log'!F:F,"&lt;94"))</f>
        <v/>
      </c>
      <c r="N46" s="13" t="str">
        <f>IF(B46="","",SUMPRODUCT(('📅 Daily Vitals Log'!$B$4:$B$113&gt;=B46)*('📅 Daily Vitals Log'!$B$4:$B$113&lt;=B46+6)*('📅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46" s="8"/>
    </row>
    <row r="47" spans="2:15" ht="19.5" customHeight="1" x14ac:dyDescent="0.25">
      <c r="B47" s="9" t="str">
        <f>IF(B46="","",IF(B46+7&gt;MAX('📅 Daily Vitals Log'!$B$4:$B$113),"",B46+7))</f>
        <v/>
      </c>
      <c r="C47" s="9" t="str">
        <f t="shared" si="1"/>
        <v/>
      </c>
      <c r="D47" s="10" t="str">
        <f>IF(B47="","",IFERROR(ROUND(AVERAGEIFS('📅 Daily Vitals Log'!C:C,'📅 Daily Vitals Log'!B:B,"&gt;="&amp;B47,'📅 Daily Vitals Log'!B:B,"&lt;="&amp;B47+6),1),""))</f>
        <v/>
      </c>
      <c r="E47" s="10" t="str">
        <f>IF(B47="","",IFERROR(ROUND(AVERAGEIFS('📅 Daily Vitals Log'!D:D,'📅 Daily Vitals Log'!B:B,"&gt;="&amp;B47,'📅 Daily Vitals Log'!B:B,"&lt;="&amp;B47+6),1),""))</f>
        <v/>
      </c>
      <c r="F47" s="10" t="str">
        <f>IF(B47="","",IFERROR(ROUND(AVERAGEIFS('📅 Daily Vitals Log'!E:E,'📅 Daily Vitals Log'!B:B,"&gt;="&amp;B47,'📅 Daily Vitals Log'!B:B,"&lt;="&amp;B47+6),1),""))</f>
        <v/>
      </c>
      <c r="G47" s="10" t="str">
        <f>IF(B47="","",IFERROR(ROUND(AVERAGEIFS('📅 Daily Vitals Log'!F:F,'📅 Daily Vitals Log'!B:B,"&gt;="&amp;B47,'📅 Daily Vitals Log'!B:B,"&lt;="&amp;B47+6),1),""))</f>
        <v/>
      </c>
      <c r="H47" s="11" t="str">
        <f>IF(B47="","",IFERROR(ROUND(AVERAGEIFS('📅 Daily Vitals Log'!H:H,'📅 Daily Vitals Log'!B:B,"&gt;="&amp;B47,'📅 Daily Vitals Log'!B:B,"&lt;="&amp;B47+6),2),""))</f>
        <v/>
      </c>
      <c r="I47" s="12" t="str">
        <f>IF(B47="","",IFERROR(ROUND(AVERAGEIFS('📅 Daily Vitals Log'!I:I,'📅 Daily Vitals Log'!B:B,"&gt;="&amp;B47,'📅 Daily Vitals Log'!B:B,"&lt;="&amp;B47+6),0),""))</f>
        <v/>
      </c>
      <c r="J47" s="12" t="str">
        <f>IF(B47="","",IFERROR(ROUND(AVERAGEIFS('📅 Daily Vitals Log'!J:J,'📅 Daily Vitals Log'!B:B,"&gt;="&amp;B47,'📅 Daily Vitals Log'!B:B,"&lt;="&amp;B47+6),0),""))</f>
        <v/>
      </c>
      <c r="K47" s="12" t="str">
        <f>IF(B47="","",IFERROR(ROUND(AVERAGEIFS('📅 Daily Vitals Log'!M:M,'📅 Daily Vitals Log'!B:B,"&gt;="&amp;B47,'📅 Daily Vitals Log'!B:B,"&lt;="&amp;B47+6),0),""))</f>
        <v/>
      </c>
      <c r="L47" s="12" t="str">
        <f>IF(B47="","",IFERROR(SUMIFS('📅 Daily Vitals Log'!I:I,'📅 Daily Vitals Log'!B:B,"&gt;="&amp;B47,'📅 Daily Vitals Log'!B:B,"&lt;="&amp;B47+6)-SUMIFS('📅 Daily Vitals Log'!J:J,'📅 Daily Vitals Log'!B:B,"&gt;="&amp;B47,'📅 Daily Vitals Log'!B:B,"&lt;="&amp;B47+6),""))</f>
        <v/>
      </c>
      <c r="M47" s="13" t="str">
        <f>IF(B47="","",COUNTIFS('📅 Daily Vitals Log'!B:B,"&gt;="&amp;B47,'📅 Daily Vitals Log'!B:B,"&lt;="&amp;B47+6,'📅 Daily Vitals Log'!F:F,"&lt;94"))</f>
        <v/>
      </c>
      <c r="N47" s="13" t="str">
        <f>IF(B47="","",SUMPRODUCT(('📅 Daily Vitals Log'!$B$4:$B$113&gt;=B47)*('📅 Daily Vitals Log'!$B$4:$B$113&lt;=B47+6)*('📅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47" s="8"/>
    </row>
    <row r="48" spans="2:15" ht="19.5" customHeight="1" x14ac:dyDescent="0.25">
      <c r="B48" s="9" t="str">
        <f>IF(B47="","",IF(B47+7&gt;MAX('📅 Daily Vitals Log'!$B$4:$B$113),"",B47+7))</f>
        <v/>
      </c>
      <c r="C48" s="9" t="str">
        <f t="shared" si="1"/>
        <v/>
      </c>
      <c r="D48" s="10" t="str">
        <f>IF(B48="","",IFERROR(ROUND(AVERAGEIFS('📅 Daily Vitals Log'!C:C,'📅 Daily Vitals Log'!B:B,"&gt;="&amp;B48,'📅 Daily Vitals Log'!B:B,"&lt;="&amp;B48+6),1),""))</f>
        <v/>
      </c>
      <c r="E48" s="10" t="str">
        <f>IF(B48="","",IFERROR(ROUND(AVERAGEIFS('📅 Daily Vitals Log'!D:D,'📅 Daily Vitals Log'!B:B,"&gt;="&amp;B48,'📅 Daily Vitals Log'!B:B,"&lt;="&amp;B48+6),1),""))</f>
        <v/>
      </c>
      <c r="F48" s="10" t="str">
        <f>IF(B48="","",IFERROR(ROUND(AVERAGEIFS('📅 Daily Vitals Log'!E:E,'📅 Daily Vitals Log'!B:B,"&gt;="&amp;B48,'📅 Daily Vitals Log'!B:B,"&lt;="&amp;B48+6),1),""))</f>
        <v/>
      </c>
      <c r="G48" s="10" t="str">
        <f>IF(B48="","",IFERROR(ROUND(AVERAGEIFS('📅 Daily Vitals Log'!F:F,'📅 Daily Vitals Log'!B:B,"&gt;="&amp;B48,'📅 Daily Vitals Log'!B:B,"&lt;="&amp;B48+6),1),""))</f>
        <v/>
      </c>
      <c r="H48" s="11" t="str">
        <f>IF(B48="","",IFERROR(ROUND(AVERAGEIFS('📅 Daily Vitals Log'!H:H,'📅 Daily Vitals Log'!B:B,"&gt;="&amp;B48,'📅 Daily Vitals Log'!B:B,"&lt;="&amp;B48+6),2),""))</f>
        <v/>
      </c>
      <c r="I48" s="12" t="str">
        <f>IF(B48="","",IFERROR(ROUND(AVERAGEIFS('📅 Daily Vitals Log'!I:I,'📅 Daily Vitals Log'!B:B,"&gt;="&amp;B48,'📅 Daily Vitals Log'!B:B,"&lt;="&amp;B48+6),0),""))</f>
        <v/>
      </c>
      <c r="J48" s="12" t="str">
        <f>IF(B48="","",IFERROR(ROUND(AVERAGEIFS('📅 Daily Vitals Log'!J:J,'📅 Daily Vitals Log'!B:B,"&gt;="&amp;B48,'📅 Daily Vitals Log'!B:B,"&lt;="&amp;B48+6),0),""))</f>
        <v/>
      </c>
      <c r="K48" s="12" t="str">
        <f>IF(B48="","",IFERROR(ROUND(AVERAGEIFS('📅 Daily Vitals Log'!M:M,'📅 Daily Vitals Log'!B:B,"&gt;="&amp;B48,'📅 Daily Vitals Log'!B:B,"&lt;="&amp;B48+6),0),""))</f>
        <v/>
      </c>
      <c r="L48" s="12" t="str">
        <f>IF(B48="","",IFERROR(SUMIFS('📅 Daily Vitals Log'!I:I,'📅 Daily Vitals Log'!B:B,"&gt;="&amp;B48,'📅 Daily Vitals Log'!B:B,"&lt;="&amp;B48+6)-SUMIFS('📅 Daily Vitals Log'!J:J,'📅 Daily Vitals Log'!B:B,"&gt;="&amp;B48,'📅 Daily Vitals Log'!B:B,"&lt;="&amp;B48+6),""))</f>
        <v/>
      </c>
      <c r="M48" s="13" t="str">
        <f>IF(B48="","",COUNTIFS('📅 Daily Vitals Log'!B:B,"&gt;="&amp;B48,'📅 Daily Vitals Log'!B:B,"&lt;="&amp;B48+6,'📅 Daily Vitals Log'!F:F,"&lt;94"))</f>
        <v/>
      </c>
      <c r="N48" s="13" t="str">
        <f>IF(B48="","",SUMPRODUCT(('📅 Daily Vitals Log'!$B$4:$B$113&gt;=B48)*('📅 Daily Vitals Log'!$B$4:$B$113&lt;=B48+6)*('📅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48" s="8"/>
    </row>
    <row r="49" spans="2:15" ht="19.5" customHeight="1" x14ac:dyDescent="0.25">
      <c r="B49" s="9" t="str">
        <f>IF(B48="","",IF(B48+7&gt;MAX('📅 Daily Vitals Log'!$B$4:$B$113),"",B48+7))</f>
        <v/>
      </c>
      <c r="C49" s="9" t="str">
        <f t="shared" si="1"/>
        <v/>
      </c>
      <c r="D49" s="10" t="str">
        <f>IF(B49="","",IFERROR(ROUND(AVERAGEIFS('📅 Daily Vitals Log'!C:C,'📅 Daily Vitals Log'!B:B,"&gt;="&amp;B49,'📅 Daily Vitals Log'!B:B,"&lt;="&amp;B49+6),1),""))</f>
        <v/>
      </c>
      <c r="E49" s="10" t="str">
        <f>IF(B49="","",IFERROR(ROUND(AVERAGEIFS('📅 Daily Vitals Log'!D:D,'📅 Daily Vitals Log'!B:B,"&gt;="&amp;B49,'📅 Daily Vitals Log'!B:B,"&lt;="&amp;B49+6),1),""))</f>
        <v/>
      </c>
      <c r="F49" s="10" t="str">
        <f>IF(B49="","",IFERROR(ROUND(AVERAGEIFS('📅 Daily Vitals Log'!E:E,'📅 Daily Vitals Log'!B:B,"&gt;="&amp;B49,'📅 Daily Vitals Log'!B:B,"&lt;="&amp;B49+6),1),""))</f>
        <v/>
      </c>
      <c r="G49" s="10" t="str">
        <f>IF(B49="","",IFERROR(ROUND(AVERAGEIFS('📅 Daily Vitals Log'!F:F,'📅 Daily Vitals Log'!B:B,"&gt;="&amp;B49,'📅 Daily Vitals Log'!B:B,"&lt;="&amp;B49+6),1),""))</f>
        <v/>
      </c>
      <c r="H49" s="11" t="str">
        <f>IF(B49="","",IFERROR(ROUND(AVERAGEIFS('📅 Daily Vitals Log'!H:H,'📅 Daily Vitals Log'!B:B,"&gt;="&amp;B49,'📅 Daily Vitals Log'!B:B,"&lt;="&amp;B49+6),2),""))</f>
        <v/>
      </c>
      <c r="I49" s="12" t="str">
        <f>IF(B49="","",IFERROR(ROUND(AVERAGEIFS('📅 Daily Vitals Log'!I:I,'📅 Daily Vitals Log'!B:B,"&gt;="&amp;B49,'📅 Daily Vitals Log'!B:B,"&lt;="&amp;B49+6),0),""))</f>
        <v/>
      </c>
      <c r="J49" s="12" t="str">
        <f>IF(B49="","",IFERROR(ROUND(AVERAGEIFS('📅 Daily Vitals Log'!J:J,'📅 Daily Vitals Log'!B:B,"&gt;="&amp;B49,'📅 Daily Vitals Log'!B:B,"&lt;="&amp;B49+6),0),""))</f>
        <v/>
      </c>
      <c r="K49" s="12" t="str">
        <f>IF(B49="","",IFERROR(ROUND(AVERAGEIFS('📅 Daily Vitals Log'!M:M,'📅 Daily Vitals Log'!B:B,"&gt;="&amp;B49,'📅 Daily Vitals Log'!B:B,"&lt;="&amp;B49+6),0),""))</f>
        <v/>
      </c>
      <c r="L49" s="12" t="str">
        <f>IF(B49="","",IFERROR(SUMIFS('📅 Daily Vitals Log'!I:I,'📅 Daily Vitals Log'!B:B,"&gt;="&amp;B49,'📅 Daily Vitals Log'!B:B,"&lt;="&amp;B49+6)-SUMIFS('📅 Daily Vitals Log'!J:J,'📅 Daily Vitals Log'!B:B,"&gt;="&amp;B49,'📅 Daily Vitals Log'!B:B,"&lt;="&amp;B49+6),""))</f>
        <v/>
      </c>
      <c r="M49" s="13" t="str">
        <f>IF(B49="","",COUNTIFS('📅 Daily Vitals Log'!B:B,"&gt;="&amp;B49,'📅 Daily Vitals Log'!B:B,"&lt;="&amp;B49+6,'📅 Daily Vitals Log'!F:F,"&lt;94"))</f>
        <v/>
      </c>
      <c r="N49" s="13" t="str">
        <f>IF(B49="","",SUMPRODUCT(('📅 Daily Vitals Log'!$B$4:$B$113&gt;=B49)*('📅 Daily Vitals Log'!$B$4:$B$113&lt;=B49+6)*('📅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49" s="8"/>
    </row>
    <row r="50" spans="2:15" ht="19.5" customHeight="1" x14ac:dyDescent="0.25">
      <c r="B50" s="9" t="str">
        <f>IF(B49="","",IF(B49+7&gt;MAX('📅 Daily Vitals Log'!$B$4:$B$113),"",B49+7))</f>
        <v/>
      </c>
      <c r="C50" s="9" t="str">
        <f t="shared" si="1"/>
        <v/>
      </c>
      <c r="D50" s="10" t="str">
        <f>IF(B50="","",IFERROR(ROUND(AVERAGEIFS('📅 Daily Vitals Log'!C:C,'📅 Daily Vitals Log'!B:B,"&gt;="&amp;B50,'📅 Daily Vitals Log'!B:B,"&lt;="&amp;B50+6),1),""))</f>
        <v/>
      </c>
      <c r="E50" s="10" t="str">
        <f>IF(B50="","",IFERROR(ROUND(AVERAGEIFS('📅 Daily Vitals Log'!D:D,'📅 Daily Vitals Log'!B:B,"&gt;="&amp;B50,'📅 Daily Vitals Log'!B:B,"&lt;="&amp;B50+6),1),""))</f>
        <v/>
      </c>
      <c r="F50" s="10" t="str">
        <f>IF(B50="","",IFERROR(ROUND(AVERAGEIFS('📅 Daily Vitals Log'!E:E,'📅 Daily Vitals Log'!B:B,"&gt;="&amp;B50,'📅 Daily Vitals Log'!B:B,"&lt;="&amp;B50+6),1),""))</f>
        <v/>
      </c>
      <c r="G50" s="10" t="str">
        <f>IF(B50="","",IFERROR(ROUND(AVERAGEIFS('📅 Daily Vitals Log'!F:F,'📅 Daily Vitals Log'!B:B,"&gt;="&amp;B50,'📅 Daily Vitals Log'!B:B,"&lt;="&amp;B50+6),1),""))</f>
        <v/>
      </c>
      <c r="H50" s="11" t="str">
        <f>IF(B50="","",IFERROR(ROUND(AVERAGEIFS('📅 Daily Vitals Log'!H:H,'📅 Daily Vitals Log'!B:B,"&gt;="&amp;B50,'📅 Daily Vitals Log'!B:B,"&lt;="&amp;B50+6),2),""))</f>
        <v/>
      </c>
      <c r="I50" s="12" t="str">
        <f>IF(B50="","",IFERROR(ROUND(AVERAGEIFS('📅 Daily Vitals Log'!I:I,'📅 Daily Vitals Log'!B:B,"&gt;="&amp;B50,'📅 Daily Vitals Log'!B:B,"&lt;="&amp;B50+6),0),""))</f>
        <v/>
      </c>
      <c r="J50" s="12" t="str">
        <f>IF(B50="","",IFERROR(ROUND(AVERAGEIFS('📅 Daily Vitals Log'!J:J,'📅 Daily Vitals Log'!B:B,"&gt;="&amp;B50,'📅 Daily Vitals Log'!B:B,"&lt;="&amp;B50+6),0),""))</f>
        <v/>
      </c>
      <c r="K50" s="12" t="str">
        <f>IF(B50="","",IFERROR(ROUND(AVERAGEIFS('📅 Daily Vitals Log'!M:M,'📅 Daily Vitals Log'!B:B,"&gt;="&amp;B50,'📅 Daily Vitals Log'!B:B,"&lt;="&amp;B50+6),0),""))</f>
        <v/>
      </c>
      <c r="L50" s="12" t="str">
        <f>IF(B50="","",IFERROR(SUMIFS('📅 Daily Vitals Log'!I:I,'📅 Daily Vitals Log'!B:B,"&gt;="&amp;B50,'📅 Daily Vitals Log'!B:B,"&lt;="&amp;B50+6)-SUMIFS('📅 Daily Vitals Log'!J:J,'📅 Daily Vitals Log'!B:B,"&gt;="&amp;B50,'📅 Daily Vitals Log'!B:B,"&lt;="&amp;B50+6),""))</f>
        <v/>
      </c>
      <c r="M50" s="13" t="str">
        <f>IF(B50="","",COUNTIFS('📅 Daily Vitals Log'!B:B,"&gt;="&amp;B50,'📅 Daily Vitals Log'!B:B,"&lt;="&amp;B50+6,'📅 Daily Vitals Log'!F:F,"&lt;94"))</f>
        <v/>
      </c>
      <c r="N50" s="13" t="str">
        <f>IF(B50="","",SUMPRODUCT(('📅 Daily Vitals Log'!$B$4:$B$113&gt;=B50)*('📅 Daily Vitals Log'!$B$4:$B$113&lt;=B50+6)*('📅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50" s="8"/>
    </row>
    <row r="51" spans="2:15" ht="19.5" customHeight="1" x14ac:dyDescent="0.25">
      <c r="B51" s="9" t="str">
        <f>IF(B50="","",IF(B50+7&gt;MAX('📅 Daily Vitals Log'!$B$4:$B$113),"",B50+7))</f>
        <v/>
      </c>
      <c r="C51" s="9" t="str">
        <f t="shared" si="1"/>
        <v/>
      </c>
      <c r="D51" s="10" t="str">
        <f>IF(B51="","",IFERROR(ROUND(AVERAGEIFS('📅 Daily Vitals Log'!C:C,'📅 Daily Vitals Log'!B:B,"&gt;="&amp;B51,'📅 Daily Vitals Log'!B:B,"&lt;="&amp;B51+6),1),""))</f>
        <v/>
      </c>
      <c r="E51" s="10" t="str">
        <f>IF(B51="","",IFERROR(ROUND(AVERAGEIFS('📅 Daily Vitals Log'!D:D,'📅 Daily Vitals Log'!B:B,"&gt;="&amp;B51,'📅 Daily Vitals Log'!B:B,"&lt;="&amp;B51+6),1),""))</f>
        <v/>
      </c>
      <c r="F51" s="10" t="str">
        <f>IF(B51="","",IFERROR(ROUND(AVERAGEIFS('📅 Daily Vitals Log'!E:E,'📅 Daily Vitals Log'!B:B,"&gt;="&amp;B51,'📅 Daily Vitals Log'!B:B,"&lt;="&amp;B51+6),1),""))</f>
        <v/>
      </c>
      <c r="G51" s="10" t="str">
        <f>IF(B51="","",IFERROR(ROUND(AVERAGEIFS('📅 Daily Vitals Log'!F:F,'📅 Daily Vitals Log'!B:B,"&gt;="&amp;B51,'📅 Daily Vitals Log'!B:B,"&lt;="&amp;B51+6),1),""))</f>
        <v/>
      </c>
      <c r="H51" s="11" t="str">
        <f>IF(B51="","",IFERROR(ROUND(AVERAGEIFS('📅 Daily Vitals Log'!H:H,'📅 Daily Vitals Log'!B:B,"&gt;="&amp;B51,'📅 Daily Vitals Log'!B:B,"&lt;="&amp;B51+6),2),""))</f>
        <v/>
      </c>
      <c r="I51" s="12" t="str">
        <f>IF(B51="","",IFERROR(ROUND(AVERAGEIFS('📅 Daily Vitals Log'!I:I,'📅 Daily Vitals Log'!B:B,"&gt;="&amp;B51,'📅 Daily Vitals Log'!B:B,"&lt;="&amp;B51+6),0),""))</f>
        <v/>
      </c>
      <c r="J51" s="12" t="str">
        <f>IF(B51="","",IFERROR(ROUND(AVERAGEIFS('📅 Daily Vitals Log'!J:J,'📅 Daily Vitals Log'!B:B,"&gt;="&amp;B51,'📅 Daily Vitals Log'!B:B,"&lt;="&amp;B51+6),0),""))</f>
        <v/>
      </c>
      <c r="K51" s="12" t="str">
        <f>IF(B51="","",IFERROR(ROUND(AVERAGEIFS('📅 Daily Vitals Log'!M:M,'📅 Daily Vitals Log'!B:B,"&gt;="&amp;B51,'📅 Daily Vitals Log'!B:B,"&lt;="&amp;B51+6),0),""))</f>
        <v/>
      </c>
      <c r="L51" s="12" t="str">
        <f>IF(B51="","",IFERROR(SUMIFS('📅 Daily Vitals Log'!I:I,'📅 Daily Vitals Log'!B:B,"&gt;="&amp;B51,'📅 Daily Vitals Log'!B:B,"&lt;="&amp;B51+6)-SUMIFS('📅 Daily Vitals Log'!J:J,'📅 Daily Vitals Log'!B:B,"&gt;="&amp;B51,'📅 Daily Vitals Log'!B:B,"&lt;="&amp;B51+6),""))</f>
        <v/>
      </c>
      <c r="M51" s="13" t="str">
        <f>IF(B51="","",COUNTIFS('📅 Daily Vitals Log'!B:B,"&gt;="&amp;B51,'📅 Daily Vitals Log'!B:B,"&lt;="&amp;B51+6,'📅 Daily Vitals Log'!F:F,"&lt;94"))</f>
        <v/>
      </c>
      <c r="N51" s="13" t="str">
        <f>IF(B51="","",SUMPRODUCT(('📅 Daily Vitals Log'!$B$4:$B$113&gt;=B51)*('📅 Daily Vitals Log'!$B$4:$B$113&lt;=B51+6)*('📅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51" s="8"/>
    </row>
    <row r="52" spans="2:15" ht="19.5" customHeight="1" x14ac:dyDescent="0.25">
      <c r="B52" s="9" t="str">
        <f>IF(B51="","",IF(B51+7&gt;MAX('📅 Daily Vitals Log'!$B$4:$B$113),"",B51+7))</f>
        <v/>
      </c>
      <c r="C52" s="9" t="str">
        <f t="shared" si="1"/>
        <v/>
      </c>
      <c r="D52" s="10" t="str">
        <f>IF(B52="","",IFERROR(ROUND(AVERAGEIFS('📅 Daily Vitals Log'!C:C,'📅 Daily Vitals Log'!B:B,"&gt;="&amp;B52,'📅 Daily Vitals Log'!B:B,"&lt;="&amp;B52+6),1),""))</f>
        <v/>
      </c>
      <c r="E52" s="10" t="str">
        <f>IF(B52="","",IFERROR(ROUND(AVERAGEIFS('📅 Daily Vitals Log'!D:D,'📅 Daily Vitals Log'!B:B,"&gt;="&amp;B52,'📅 Daily Vitals Log'!B:B,"&lt;="&amp;B52+6),1),""))</f>
        <v/>
      </c>
      <c r="F52" s="10" t="str">
        <f>IF(B52="","",IFERROR(ROUND(AVERAGEIFS('📅 Daily Vitals Log'!E:E,'📅 Daily Vitals Log'!B:B,"&gt;="&amp;B52,'📅 Daily Vitals Log'!B:B,"&lt;="&amp;B52+6),1),""))</f>
        <v/>
      </c>
      <c r="G52" s="10" t="str">
        <f>IF(B52="","",IFERROR(ROUND(AVERAGEIFS('📅 Daily Vitals Log'!F:F,'📅 Daily Vitals Log'!B:B,"&gt;="&amp;B52,'📅 Daily Vitals Log'!B:B,"&lt;="&amp;B52+6),1),""))</f>
        <v/>
      </c>
      <c r="H52" s="11" t="str">
        <f>IF(B52="","",IFERROR(ROUND(AVERAGEIFS('📅 Daily Vitals Log'!H:H,'📅 Daily Vitals Log'!B:B,"&gt;="&amp;B52,'📅 Daily Vitals Log'!B:B,"&lt;="&amp;B52+6),2),""))</f>
        <v/>
      </c>
      <c r="I52" s="12" t="str">
        <f>IF(B52="","",IFERROR(ROUND(AVERAGEIFS('📅 Daily Vitals Log'!I:I,'📅 Daily Vitals Log'!B:B,"&gt;="&amp;B52,'📅 Daily Vitals Log'!B:B,"&lt;="&amp;B52+6),0),""))</f>
        <v/>
      </c>
      <c r="J52" s="12" t="str">
        <f>IF(B52="","",IFERROR(ROUND(AVERAGEIFS('📅 Daily Vitals Log'!J:J,'📅 Daily Vitals Log'!B:B,"&gt;="&amp;B52,'📅 Daily Vitals Log'!B:B,"&lt;="&amp;B52+6),0),""))</f>
        <v/>
      </c>
      <c r="K52" s="12" t="str">
        <f>IF(B52="","",IFERROR(ROUND(AVERAGEIFS('📅 Daily Vitals Log'!M:M,'📅 Daily Vitals Log'!B:B,"&gt;="&amp;B52,'📅 Daily Vitals Log'!B:B,"&lt;="&amp;B52+6),0),""))</f>
        <v/>
      </c>
      <c r="L52" s="12" t="str">
        <f>IF(B52="","",IFERROR(SUMIFS('📅 Daily Vitals Log'!I:I,'📅 Daily Vitals Log'!B:B,"&gt;="&amp;B52,'📅 Daily Vitals Log'!B:B,"&lt;="&amp;B52+6)-SUMIFS('📅 Daily Vitals Log'!J:J,'📅 Daily Vitals Log'!B:B,"&gt;="&amp;B52,'📅 Daily Vitals Log'!B:B,"&lt;="&amp;B52+6),""))</f>
        <v/>
      </c>
      <c r="M52" s="13" t="str">
        <f>IF(B52="","",COUNTIFS('📅 Daily Vitals Log'!B:B,"&gt;="&amp;B52,'📅 Daily Vitals Log'!B:B,"&lt;="&amp;B52+6,'📅 Daily Vitals Log'!F:F,"&lt;94"))</f>
        <v/>
      </c>
      <c r="N52" s="13" t="str">
        <f>IF(B52="","",SUMPRODUCT(('📅 Daily Vitals Log'!$B$4:$B$113&gt;=B52)*('📅 Daily Vitals Log'!$B$4:$B$113&lt;=B52+6)*('📅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52" s="8"/>
    </row>
    <row r="53" spans="2:15" ht="19.5" customHeight="1" x14ac:dyDescent="0.25">
      <c r="B53" s="9" t="str">
        <f>IF(B52="","",IF(B52+7&gt;MAX('📅 Daily Vitals Log'!$B$4:$B$113),"",B52+7))</f>
        <v/>
      </c>
      <c r="C53" s="9" t="str">
        <f t="shared" si="1"/>
        <v/>
      </c>
      <c r="D53" s="10" t="str">
        <f>IF(B53="","",IFERROR(ROUND(AVERAGEIFS('📅 Daily Vitals Log'!C:C,'📅 Daily Vitals Log'!B:B,"&gt;="&amp;B53,'📅 Daily Vitals Log'!B:B,"&lt;="&amp;B53+6),1),""))</f>
        <v/>
      </c>
      <c r="E53" s="10" t="str">
        <f>IF(B53="","",IFERROR(ROUND(AVERAGEIFS('📅 Daily Vitals Log'!D:D,'📅 Daily Vitals Log'!B:B,"&gt;="&amp;B53,'📅 Daily Vitals Log'!B:B,"&lt;="&amp;B53+6),1),""))</f>
        <v/>
      </c>
      <c r="F53" s="10" t="str">
        <f>IF(B53="","",IFERROR(ROUND(AVERAGEIFS('📅 Daily Vitals Log'!E:E,'📅 Daily Vitals Log'!B:B,"&gt;="&amp;B53,'📅 Daily Vitals Log'!B:B,"&lt;="&amp;B53+6),1),""))</f>
        <v/>
      </c>
      <c r="G53" s="10" t="str">
        <f>IF(B53="","",IFERROR(ROUND(AVERAGEIFS('📅 Daily Vitals Log'!F:F,'📅 Daily Vitals Log'!B:B,"&gt;="&amp;B53,'📅 Daily Vitals Log'!B:B,"&lt;="&amp;B53+6),1),""))</f>
        <v/>
      </c>
      <c r="H53" s="11" t="str">
        <f>IF(B53="","",IFERROR(ROUND(AVERAGEIFS('📅 Daily Vitals Log'!H:H,'📅 Daily Vitals Log'!B:B,"&gt;="&amp;B53,'📅 Daily Vitals Log'!B:B,"&lt;="&amp;B53+6),2),""))</f>
        <v/>
      </c>
      <c r="I53" s="12" t="str">
        <f>IF(B53="","",IFERROR(ROUND(AVERAGEIFS('📅 Daily Vitals Log'!I:I,'📅 Daily Vitals Log'!B:B,"&gt;="&amp;B53,'📅 Daily Vitals Log'!B:B,"&lt;="&amp;B53+6),0),""))</f>
        <v/>
      </c>
      <c r="J53" s="12" t="str">
        <f>IF(B53="","",IFERROR(ROUND(AVERAGEIFS('📅 Daily Vitals Log'!J:J,'📅 Daily Vitals Log'!B:B,"&gt;="&amp;B53,'📅 Daily Vitals Log'!B:B,"&lt;="&amp;B53+6),0),""))</f>
        <v/>
      </c>
      <c r="K53" s="12" t="str">
        <f>IF(B53="","",IFERROR(ROUND(AVERAGEIFS('📅 Daily Vitals Log'!M:M,'📅 Daily Vitals Log'!B:B,"&gt;="&amp;B53,'📅 Daily Vitals Log'!B:B,"&lt;="&amp;B53+6),0),""))</f>
        <v/>
      </c>
      <c r="L53" s="12" t="str">
        <f>IF(B53="","",IFERROR(SUMIFS('📅 Daily Vitals Log'!I:I,'📅 Daily Vitals Log'!B:B,"&gt;="&amp;B53,'📅 Daily Vitals Log'!B:B,"&lt;="&amp;B53+6)-SUMIFS('📅 Daily Vitals Log'!J:J,'📅 Daily Vitals Log'!B:B,"&gt;="&amp;B53,'📅 Daily Vitals Log'!B:B,"&lt;="&amp;B53+6),""))</f>
        <v/>
      </c>
      <c r="M53" s="13" t="str">
        <f>IF(B53="","",COUNTIFS('📅 Daily Vitals Log'!B:B,"&gt;="&amp;B53,'📅 Daily Vitals Log'!B:B,"&lt;="&amp;B53+6,'📅 Daily Vitals Log'!F:F,"&lt;94"))</f>
        <v/>
      </c>
      <c r="N53" s="13" t="str">
        <f>IF(B53="","",SUMPRODUCT(('📅 Daily Vitals Log'!$B$4:$B$113&gt;=B53)*('📅 Daily Vitals Log'!$B$4:$B$113&lt;=B53+6)*('📅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53" s="8"/>
    </row>
    <row r="54" spans="2:15" ht="19.5" customHeight="1" x14ac:dyDescent="0.25">
      <c r="B54" s="9" t="str">
        <f>IF(B53="","",IF(B53+7&gt;MAX('📅 Daily Vitals Log'!$B$4:$B$113),"",B53+7))</f>
        <v/>
      </c>
      <c r="C54" s="9" t="str">
        <f t="shared" si="1"/>
        <v/>
      </c>
      <c r="D54" s="10" t="str">
        <f>IF(B54="","",IFERROR(ROUND(AVERAGEIFS('📅 Daily Vitals Log'!C:C,'📅 Daily Vitals Log'!B:B,"&gt;="&amp;B54,'📅 Daily Vitals Log'!B:B,"&lt;="&amp;B54+6),1),""))</f>
        <v/>
      </c>
      <c r="E54" s="10" t="str">
        <f>IF(B54="","",IFERROR(ROUND(AVERAGEIFS('📅 Daily Vitals Log'!D:D,'📅 Daily Vitals Log'!B:B,"&gt;="&amp;B54,'📅 Daily Vitals Log'!B:B,"&lt;="&amp;B54+6),1),""))</f>
        <v/>
      </c>
      <c r="F54" s="10" t="str">
        <f>IF(B54="","",IFERROR(ROUND(AVERAGEIFS('📅 Daily Vitals Log'!E:E,'📅 Daily Vitals Log'!B:B,"&gt;="&amp;B54,'📅 Daily Vitals Log'!B:B,"&lt;="&amp;B54+6),1),""))</f>
        <v/>
      </c>
      <c r="G54" s="10" t="str">
        <f>IF(B54="","",IFERROR(ROUND(AVERAGEIFS('📅 Daily Vitals Log'!F:F,'📅 Daily Vitals Log'!B:B,"&gt;="&amp;B54,'📅 Daily Vitals Log'!B:B,"&lt;="&amp;B54+6),1),""))</f>
        <v/>
      </c>
      <c r="H54" s="11" t="str">
        <f>IF(B54="","",IFERROR(ROUND(AVERAGEIFS('📅 Daily Vitals Log'!H:H,'📅 Daily Vitals Log'!B:B,"&gt;="&amp;B54,'📅 Daily Vitals Log'!B:B,"&lt;="&amp;B54+6),2),""))</f>
        <v/>
      </c>
      <c r="I54" s="12" t="str">
        <f>IF(B54="","",IFERROR(ROUND(AVERAGEIFS('📅 Daily Vitals Log'!I:I,'📅 Daily Vitals Log'!B:B,"&gt;="&amp;B54,'📅 Daily Vitals Log'!B:B,"&lt;="&amp;B54+6),0),""))</f>
        <v/>
      </c>
      <c r="J54" s="12" t="str">
        <f>IF(B54="","",IFERROR(ROUND(AVERAGEIFS('📅 Daily Vitals Log'!J:J,'📅 Daily Vitals Log'!B:B,"&gt;="&amp;B54,'📅 Daily Vitals Log'!B:B,"&lt;="&amp;B54+6),0),""))</f>
        <v/>
      </c>
      <c r="K54" s="12" t="str">
        <f>IF(B54="","",IFERROR(ROUND(AVERAGEIFS('📅 Daily Vitals Log'!M:M,'📅 Daily Vitals Log'!B:B,"&gt;="&amp;B54,'📅 Daily Vitals Log'!B:B,"&lt;="&amp;B54+6),0),""))</f>
        <v/>
      </c>
      <c r="L54" s="12" t="str">
        <f>IF(B54="","",IFERROR(SUMIFS('📅 Daily Vitals Log'!I:I,'📅 Daily Vitals Log'!B:B,"&gt;="&amp;B54,'📅 Daily Vitals Log'!B:B,"&lt;="&amp;B54+6)-SUMIFS('📅 Daily Vitals Log'!J:J,'📅 Daily Vitals Log'!B:B,"&gt;="&amp;B54,'📅 Daily Vitals Log'!B:B,"&lt;="&amp;B54+6),""))</f>
        <v/>
      </c>
      <c r="M54" s="13" t="str">
        <f>IF(B54="","",COUNTIFS('📅 Daily Vitals Log'!B:B,"&gt;="&amp;B54,'📅 Daily Vitals Log'!B:B,"&lt;="&amp;B54+6,'📅 Daily Vitals Log'!F:F,"&lt;94"))</f>
        <v/>
      </c>
      <c r="N54" s="13" t="str">
        <f>IF(B54="","",SUMPRODUCT(('📅 Daily Vitals Log'!$B$4:$B$113&gt;=B54)*('📅 Daily Vitals Log'!$B$4:$B$113&lt;=B54+6)*('📅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54" s="8"/>
    </row>
    <row r="55" spans="2:15" ht="19.5" customHeight="1" x14ac:dyDescent="0.25">
      <c r="B55" s="9" t="str">
        <f>IF(B54="","",IF(B54+7&gt;MAX('📅 Daily Vitals Log'!$B$4:$B$113),"",B54+7))</f>
        <v/>
      </c>
      <c r="C55" s="9" t="str">
        <f t="shared" si="1"/>
        <v/>
      </c>
      <c r="D55" s="10" t="str">
        <f>IF(B55="","",IFERROR(ROUND(AVERAGEIFS('📅 Daily Vitals Log'!C:C,'📅 Daily Vitals Log'!B:B,"&gt;="&amp;B55,'📅 Daily Vitals Log'!B:B,"&lt;="&amp;B55+6),1),""))</f>
        <v/>
      </c>
      <c r="E55" s="10" t="str">
        <f>IF(B55="","",IFERROR(ROUND(AVERAGEIFS('📅 Daily Vitals Log'!D:D,'📅 Daily Vitals Log'!B:B,"&gt;="&amp;B55,'📅 Daily Vitals Log'!B:B,"&lt;="&amp;B55+6),1),""))</f>
        <v/>
      </c>
      <c r="F55" s="10" t="str">
        <f>IF(B55="","",IFERROR(ROUND(AVERAGEIFS('📅 Daily Vitals Log'!E:E,'📅 Daily Vitals Log'!B:B,"&gt;="&amp;B55,'📅 Daily Vitals Log'!B:B,"&lt;="&amp;B55+6),1),""))</f>
        <v/>
      </c>
      <c r="G55" s="10" t="str">
        <f>IF(B55="","",IFERROR(ROUND(AVERAGEIFS('📅 Daily Vitals Log'!F:F,'📅 Daily Vitals Log'!B:B,"&gt;="&amp;B55,'📅 Daily Vitals Log'!B:B,"&lt;="&amp;B55+6),1),""))</f>
        <v/>
      </c>
      <c r="H55" s="11" t="str">
        <f>IF(B55="","",IFERROR(ROUND(AVERAGEIFS('📅 Daily Vitals Log'!H:H,'📅 Daily Vitals Log'!B:B,"&gt;="&amp;B55,'📅 Daily Vitals Log'!B:B,"&lt;="&amp;B55+6),2),""))</f>
        <v/>
      </c>
      <c r="I55" s="12" t="str">
        <f>IF(B55="","",IFERROR(ROUND(AVERAGEIFS('📅 Daily Vitals Log'!I:I,'📅 Daily Vitals Log'!B:B,"&gt;="&amp;B55,'📅 Daily Vitals Log'!B:B,"&lt;="&amp;B55+6),0),""))</f>
        <v/>
      </c>
      <c r="J55" s="12" t="str">
        <f>IF(B55="","",IFERROR(ROUND(AVERAGEIFS('📅 Daily Vitals Log'!J:J,'📅 Daily Vitals Log'!B:B,"&gt;="&amp;B55,'📅 Daily Vitals Log'!B:B,"&lt;="&amp;B55+6),0),""))</f>
        <v/>
      </c>
      <c r="K55" s="12" t="str">
        <f>IF(B55="","",IFERROR(ROUND(AVERAGEIFS('📅 Daily Vitals Log'!M:M,'📅 Daily Vitals Log'!B:B,"&gt;="&amp;B55,'📅 Daily Vitals Log'!B:B,"&lt;="&amp;B55+6),0),""))</f>
        <v/>
      </c>
      <c r="L55" s="12" t="str">
        <f>IF(B55="","",IFERROR(SUMIFS('📅 Daily Vitals Log'!I:I,'📅 Daily Vitals Log'!B:B,"&gt;="&amp;B55,'📅 Daily Vitals Log'!B:B,"&lt;="&amp;B55+6)-SUMIFS('📅 Daily Vitals Log'!J:J,'📅 Daily Vitals Log'!B:B,"&gt;="&amp;B55,'📅 Daily Vitals Log'!B:B,"&lt;="&amp;B55+6),""))</f>
        <v/>
      </c>
      <c r="M55" s="13" t="str">
        <f>IF(B55="","",COUNTIFS('📅 Daily Vitals Log'!B:B,"&gt;="&amp;B55,'📅 Daily Vitals Log'!B:B,"&lt;="&amp;B55+6,'📅 Daily Vitals Log'!F:F,"&lt;94"))</f>
        <v/>
      </c>
      <c r="N55" s="13" t="str">
        <f>IF(B55="","",SUMPRODUCT(('📅 Daily Vitals Log'!$B$4:$B$113&gt;=B55)*('📅 Daily Vitals Log'!$B$4:$B$113&lt;=B55+6)*('📅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55" s="8"/>
    </row>
    <row r="56" spans="2:15" ht="19.5" customHeight="1" x14ac:dyDescent="0.25">
      <c r="B56" s="9" t="str">
        <f>IF(B55="","",IF(B55+7&gt;MAX('📅 Daily Vitals Log'!$B$4:$B$113),"",B55+7))</f>
        <v/>
      </c>
      <c r="C56" s="9" t="str">
        <f t="shared" si="1"/>
        <v/>
      </c>
      <c r="D56" s="10" t="str">
        <f>IF(B56="","",IFERROR(ROUND(AVERAGEIFS('📅 Daily Vitals Log'!C:C,'📅 Daily Vitals Log'!B:B,"&gt;="&amp;B56,'📅 Daily Vitals Log'!B:B,"&lt;="&amp;B56+6),1),""))</f>
        <v/>
      </c>
      <c r="E56" s="10" t="str">
        <f>IF(B56="","",IFERROR(ROUND(AVERAGEIFS('📅 Daily Vitals Log'!D:D,'📅 Daily Vitals Log'!B:B,"&gt;="&amp;B56,'📅 Daily Vitals Log'!B:B,"&lt;="&amp;B56+6),1),""))</f>
        <v/>
      </c>
      <c r="F56" s="10" t="str">
        <f>IF(B56="","",IFERROR(ROUND(AVERAGEIFS('📅 Daily Vitals Log'!E:E,'📅 Daily Vitals Log'!B:B,"&gt;="&amp;B56,'📅 Daily Vitals Log'!B:B,"&lt;="&amp;B56+6),1),""))</f>
        <v/>
      </c>
      <c r="G56" s="10" t="str">
        <f>IF(B56="","",IFERROR(ROUND(AVERAGEIFS('📅 Daily Vitals Log'!F:F,'📅 Daily Vitals Log'!B:B,"&gt;="&amp;B56,'📅 Daily Vitals Log'!B:B,"&lt;="&amp;B56+6),1),""))</f>
        <v/>
      </c>
      <c r="H56" s="11" t="str">
        <f>IF(B56="","",IFERROR(ROUND(AVERAGEIFS('📅 Daily Vitals Log'!H:H,'📅 Daily Vitals Log'!B:B,"&gt;="&amp;B56,'📅 Daily Vitals Log'!B:B,"&lt;="&amp;B56+6),2),""))</f>
        <v/>
      </c>
      <c r="I56" s="12" t="str">
        <f>IF(B56="","",IFERROR(ROUND(AVERAGEIFS('📅 Daily Vitals Log'!I:I,'📅 Daily Vitals Log'!B:B,"&gt;="&amp;B56,'📅 Daily Vitals Log'!B:B,"&lt;="&amp;B56+6),0),""))</f>
        <v/>
      </c>
      <c r="J56" s="12" t="str">
        <f>IF(B56="","",IFERROR(ROUND(AVERAGEIFS('📅 Daily Vitals Log'!J:J,'📅 Daily Vitals Log'!B:B,"&gt;="&amp;B56,'📅 Daily Vitals Log'!B:B,"&lt;="&amp;B56+6),0),""))</f>
        <v/>
      </c>
      <c r="K56" s="12" t="str">
        <f>IF(B56="","",IFERROR(ROUND(AVERAGEIFS('📅 Daily Vitals Log'!M:M,'📅 Daily Vitals Log'!B:B,"&gt;="&amp;B56,'📅 Daily Vitals Log'!B:B,"&lt;="&amp;B56+6),0),""))</f>
        <v/>
      </c>
      <c r="L56" s="12" t="str">
        <f>IF(B56="","",IFERROR(SUMIFS('📅 Daily Vitals Log'!I:I,'📅 Daily Vitals Log'!B:B,"&gt;="&amp;B56,'📅 Daily Vitals Log'!B:B,"&lt;="&amp;B56+6)-SUMIFS('📅 Daily Vitals Log'!J:J,'📅 Daily Vitals Log'!B:B,"&gt;="&amp;B56,'📅 Daily Vitals Log'!B:B,"&lt;="&amp;B56+6),""))</f>
        <v/>
      </c>
      <c r="M56" s="13" t="str">
        <f>IF(B56="","",COUNTIFS('📅 Daily Vitals Log'!B:B,"&gt;="&amp;B56,'📅 Daily Vitals Log'!B:B,"&lt;="&amp;B56+6,'📅 Daily Vitals Log'!F:F,"&lt;94"))</f>
        <v/>
      </c>
      <c r="N56" s="13" t="str">
        <f>IF(B56="","",SUMPRODUCT(('📅 Daily Vitals Log'!$B$4:$B$113&gt;=B56)*('📅 Daily Vitals Log'!$B$4:$B$113&lt;=B56+6)*('📅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56" s="8"/>
    </row>
    <row r="57" spans="2:15" ht="19.5" customHeight="1" x14ac:dyDescent="0.25">
      <c r="B57" s="9" t="str">
        <f>IF(B56="","",IF(B56+7&gt;MAX('📅 Daily Vitals Log'!$B$4:$B$113),"",B56+7))</f>
        <v/>
      </c>
      <c r="C57" s="9" t="str">
        <f t="shared" si="1"/>
        <v/>
      </c>
      <c r="D57" s="10" t="str">
        <f>IF(B57="","",IFERROR(ROUND(AVERAGEIFS('📅 Daily Vitals Log'!C:C,'📅 Daily Vitals Log'!B:B,"&gt;="&amp;B57,'📅 Daily Vitals Log'!B:B,"&lt;="&amp;B57+6),1),""))</f>
        <v/>
      </c>
      <c r="E57" s="10" t="str">
        <f>IF(B57="","",IFERROR(ROUND(AVERAGEIFS('📅 Daily Vitals Log'!D:D,'📅 Daily Vitals Log'!B:B,"&gt;="&amp;B57,'📅 Daily Vitals Log'!B:B,"&lt;="&amp;B57+6),1),""))</f>
        <v/>
      </c>
      <c r="F57" s="10" t="str">
        <f>IF(B57="","",IFERROR(ROUND(AVERAGEIFS('📅 Daily Vitals Log'!E:E,'📅 Daily Vitals Log'!B:B,"&gt;="&amp;B57,'📅 Daily Vitals Log'!B:B,"&lt;="&amp;B57+6),1),""))</f>
        <v/>
      </c>
      <c r="G57" s="10" t="str">
        <f>IF(B57="","",IFERROR(ROUND(AVERAGEIFS('📅 Daily Vitals Log'!F:F,'📅 Daily Vitals Log'!B:B,"&gt;="&amp;B57,'📅 Daily Vitals Log'!B:B,"&lt;="&amp;B57+6),1),""))</f>
        <v/>
      </c>
      <c r="H57" s="11" t="str">
        <f>IF(B57="","",IFERROR(ROUND(AVERAGEIFS('📅 Daily Vitals Log'!H:H,'📅 Daily Vitals Log'!B:B,"&gt;="&amp;B57,'📅 Daily Vitals Log'!B:B,"&lt;="&amp;B57+6),2),""))</f>
        <v/>
      </c>
      <c r="I57" s="12" t="str">
        <f>IF(B57="","",IFERROR(ROUND(AVERAGEIFS('📅 Daily Vitals Log'!I:I,'📅 Daily Vitals Log'!B:B,"&gt;="&amp;B57,'📅 Daily Vitals Log'!B:B,"&lt;="&amp;B57+6),0),""))</f>
        <v/>
      </c>
      <c r="J57" s="12" t="str">
        <f>IF(B57="","",IFERROR(ROUND(AVERAGEIFS('📅 Daily Vitals Log'!J:J,'📅 Daily Vitals Log'!B:B,"&gt;="&amp;B57,'📅 Daily Vitals Log'!B:B,"&lt;="&amp;B57+6),0),""))</f>
        <v/>
      </c>
      <c r="K57" s="12" t="str">
        <f>IF(B57="","",IFERROR(ROUND(AVERAGEIFS('📅 Daily Vitals Log'!M:M,'📅 Daily Vitals Log'!B:B,"&gt;="&amp;B57,'📅 Daily Vitals Log'!B:B,"&lt;="&amp;B57+6),0),""))</f>
        <v/>
      </c>
      <c r="L57" s="12" t="str">
        <f>IF(B57="","",IFERROR(SUMIFS('📅 Daily Vitals Log'!I:I,'📅 Daily Vitals Log'!B:B,"&gt;="&amp;B57,'📅 Daily Vitals Log'!B:B,"&lt;="&amp;B57+6)-SUMIFS('📅 Daily Vitals Log'!J:J,'📅 Daily Vitals Log'!B:B,"&gt;="&amp;B57,'📅 Daily Vitals Log'!B:B,"&lt;="&amp;B57+6),""))</f>
        <v/>
      </c>
      <c r="M57" s="13" t="str">
        <f>IF(B57="","",COUNTIFS('📅 Daily Vitals Log'!B:B,"&gt;="&amp;B57,'📅 Daily Vitals Log'!B:B,"&lt;="&amp;B57+6,'📅 Daily Vitals Log'!F:F,"&lt;94"))</f>
        <v/>
      </c>
      <c r="N57" s="13" t="str">
        <f>IF(B57="","",SUMPRODUCT(('📅 Daily Vitals Log'!$B$4:$B$113&gt;=B57)*('📅 Daily Vitals Log'!$B$4:$B$113&lt;=B57+6)*('📅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57" s="8"/>
    </row>
    <row r="58" spans="2:15" ht="19.5" customHeight="1" x14ac:dyDescent="0.25">
      <c r="B58" s="9" t="str">
        <f>IF(B57="","",IF(B57+7&gt;MAX('📅 Daily Vitals Log'!$B$4:$B$113),"",B57+7))</f>
        <v/>
      </c>
      <c r="C58" s="9" t="str">
        <f t="shared" si="1"/>
        <v/>
      </c>
      <c r="D58" s="10" t="str">
        <f>IF(B58="","",IFERROR(ROUND(AVERAGEIFS('📅 Daily Vitals Log'!C:C,'📅 Daily Vitals Log'!B:B,"&gt;="&amp;B58,'📅 Daily Vitals Log'!B:B,"&lt;="&amp;B58+6),1),""))</f>
        <v/>
      </c>
      <c r="E58" s="10" t="str">
        <f>IF(B58="","",IFERROR(ROUND(AVERAGEIFS('📅 Daily Vitals Log'!D:D,'📅 Daily Vitals Log'!B:B,"&gt;="&amp;B58,'📅 Daily Vitals Log'!B:B,"&lt;="&amp;B58+6),1),""))</f>
        <v/>
      </c>
      <c r="F58" s="10" t="str">
        <f>IF(B58="","",IFERROR(ROUND(AVERAGEIFS('📅 Daily Vitals Log'!E:E,'📅 Daily Vitals Log'!B:B,"&gt;="&amp;B58,'📅 Daily Vitals Log'!B:B,"&lt;="&amp;B58+6),1),""))</f>
        <v/>
      </c>
      <c r="G58" s="10" t="str">
        <f>IF(B58="","",IFERROR(ROUND(AVERAGEIFS('📅 Daily Vitals Log'!F:F,'📅 Daily Vitals Log'!B:B,"&gt;="&amp;B58,'📅 Daily Vitals Log'!B:B,"&lt;="&amp;B58+6),1),""))</f>
        <v/>
      </c>
      <c r="H58" s="11" t="str">
        <f>IF(B58="","",IFERROR(ROUND(AVERAGEIFS('📅 Daily Vitals Log'!H:H,'📅 Daily Vitals Log'!B:B,"&gt;="&amp;B58,'📅 Daily Vitals Log'!B:B,"&lt;="&amp;B58+6),2),""))</f>
        <v/>
      </c>
      <c r="I58" s="12" t="str">
        <f>IF(B58="","",IFERROR(ROUND(AVERAGEIFS('📅 Daily Vitals Log'!I:I,'📅 Daily Vitals Log'!B:B,"&gt;="&amp;B58,'📅 Daily Vitals Log'!B:B,"&lt;="&amp;B58+6),0),""))</f>
        <v/>
      </c>
      <c r="J58" s="12" t="str">
        <f>IF(B58="","",IFERROR(ROUND(AVERAGEIFS('📅 Daily Vitals Log'!J:J,'📅 Daily Vitals Log'!B:B,"&gt;="&amp;B58,'📅 Daily Vitals Log'!B:B,"&lt;="&amp;B58+6),0),""))</f>
        <v/>
      </c>
      <c r="K58" s="12" t="str">
        <f>IF(B58="","",IFERROR(ROUND(AVERAGEIFS('📅 Daily Vitals Log'!M:M,'📅 Daily Vitals Log'!B:B,"&gt;="&amp;B58,'📅 Daily Vitals Log'!B:B,"&lt;="&amp;B58+6),0),""))</f>
        <v/>
      </c>
      <c r="L58" s="12" t="str">
        <f>IF(B58="","",IFERROR(SUMIFS('📅 Daily Vitals Log'!I:I,'📅 Daily Vitals Log'!B:B,"&gt;="&amp;B58,'📅 Daily Vitals Log'!B:B,"&lt;="&amp;B58+6)-SUMIFS('📅 Daily Vitals Log'!J:J,'📅 Daily Vitals Log'!B:B,"&gt;="&amp;B58,'📅 Daily Vitals Log'!B:B,"&lt;="&amp;B58+6),""))</f>
        <v/>
      </c>
      <c r="M58" s="13" t="str">
        <f>IF(B58="","",COUNTIFS('📅 Daily Vitals Log'!B:B,"&gt;="&amp;B58,'📅 Daily Vitals Log'!B:B,"&lt;="&amp;B58+6,'📅 Daily Vitals Log'!F:F,"&lt;94"))</f>
        <v/>
      </c>
      <c r="N58" s="13" t="str">
        <f>IF(B58="","",SUMPRODUCT(('📅 Daily Vitals Log'!$B$4:$B$113&gt;=B58)*('📅 Daily Vitals Log'!$B$4:$B$113&lt;=B58+6)*('📅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58" s="8"/>
    </row>
    <row r="59" spans="2:15" ht="19.5" customHeight="1" x14ac:dyDescent="0.25">
      <c r="B59" s="9" t="str">
        <f>IF(B58="","",IF(B58+7&gt;MAX('📅 Daily Vitals Log'!$B$4:$B$113),"",B58+7))</f>
        <v/>
      </c>
      <c r="C59" s="9" t="str">
        <f t="shared" si="1"/>
        <v/>
      </c>
      <c r="D59" s="10" t="str">
        <f>IF(B59="","",IFERROR(ROUND(AVERAGEIFS('📅 Daily Vitals Log'!C:C,'📅 Daily Vitals Log'!B:B,"&gt;="&amp;B59,'📅 Daily Vitals Log'!B:B,"&lt;="&amp;B59+6),1),""))</f>
        <v/>
      </c>
      <c r="E59" s="10" t="str">
        <f>IF(B59="","",IFERROR(ROUND(AVERAGEIFS('📅 Daily Vitals Log'!D:D,'📅 Daily Vitals Log'!B:B,"&gt;="&amp;B59,'📅 Daily Vitals Log'!B:B,"&lt;="&amp;B59+6),1),""))</f>
        <v/>
      </c>
      <c r="F59" s="10" t="str">
        <f>IF(B59="","",IFERROR(ROUND(AVERAGEIFS('📅 Daily Vitals Log'!E:E,'📅 Daily Vitals Log'!B:B,"&gt;="&amp;B59,'📅 Daily Vitals Log'!B:B,"&lt;="&amp;B59+6),1),""))</f>
        <v/>
      </c>
      <c r="G59" s="10" t="str">
        <f>IF(B59="","",IFERROR(ROUND(AVERAGEIFS('📅 Daily Vitals Log'!F:F,'📅 Daily Vitals Log'!B:B,"&gt;="&amp;B59,'📅 Daily Vitals Log'!B:B,"&lt;="&amp;B59+6),1),""))</f>
        <v/>
      </c>
      <c r="H59" s="11" t="str">
        <f>IF(B59="","",IFERROR(ROUND(AVERAGEIFS('📅 Daily Vitals Log'!H:H,'📅 Daily Vitals Log'!B:B,"&gt;="&amp;B59,'📅 Daily Vitals Log'!B:B,"&lt;="&amp;B59+6),2),""))</f>
        <v/>
      </c>
      <c r="I59" s="12" t="str">
        <f>IF(B59="","",IFERROR(ROUND(AVERAGEIFS('📅 Daily Vitals Log'!I:I,'📅 Daily Vitals Log'!B:B,"&gt;="&amp;B59,'📅 Daily Vitals Log'!B:B,"&lt;="&amp;B59+6),0),""))</f>
        <v/>
      </c>
      <c r="J59" s="12" t="str">
        <f>IF(B59="","",IFERROR(ROUND(AVERAGEIFS('📅 Daily Vitals Log'!J:J,'📅 Daily Vitals Log'!B:B,"&gt;="&amp;B59,'📅 Daily Vitals Log'!B:B,"&lt;="&amp;B59+6),0),""))</f>
        <v/>
      </c>
      <c r="K59" s="12" t="str">
        <f>IF(B59="","",IFERROR(ROUND(AVERAGEIFS('📅 Daily Vitals Log'!M:M,'📅 Daily Vitals Log'!B:B,"&gt;="&amp;B59,'📅 Daily Vitals Log'!B:B,"&lt;="&amp;B59+6),0),""))</f>
        <v/>
      </c>
      <c r="L59" s="12" t="str">
        <f>IF(B59="","",IFERROR(SUMIFS('📅 Daily Vitals Log'!I:I,'📅 Daily Vitals Log'!B:B,"&gt;="&amp;B59,'📅 Daily Vitals Log'!B:B,"&lt;="&amp;B59+6)-SUMIFS('📅 Daily Vitals Log'!J:J,'📅 Daily Vitals Log'!B:B,"&gt;="&amp;B59,'📅 Daily Vitals Log'!B:B,"&lt;="&amp;B59+6),""))</f>
        <v/>
      </c>
      <c r="M59" s="13" t="str">
        <f>IF(B59="","",COUNTIFS('📅 Daily Vitals Log'!B:B,"&gt;="&amp;B59,'📅 Daily Vitals Log'!B:B,"&lt;="&amp;B59+6,'📅 Daily Vitals Log'!F:F,"&lt;94"))</f>
        <v/>
      </c>
      <c r="N59" s="13" t="str">
        <f>IF(B59="","",SUMPRODUCT(('📅 Daily Vitals Log'!$B$4:$B$113&gt;=B59)*('📅 Daily Vitals Log'!$B$4:$B$113&lt;=B59+6)*('📅 Daily Vitals Log'!$C$4:$C$113&lt;&gt;"")*('📅 Daily Vitals Log'!$D$4:$D$113&lt;&gt;"")*((('📅 Daily Vitals Log'!$C$4:$C$113&gt;'⚙ Dashboard Settings'!$I$9)+('📅 Daily Vitals Log'!$C$4:$C$113&lt;'⚙ Dashboard Settings'!$I$10)+('📅 Daily Vitals Log'!$D$4:$D$113&gt;'⚙ Dashboard Settings'!$I$11))&gt;0)))</f>
        <v/>
      </c>
      <c r="O59" s="8"/>
    </row>
    <row r="61" spans="2:15" ht="19.5" customHeight="1" x14ac:dyDescent="0.25">
      <c r="B61" s="129" t="s">
        <v>361</v>
      </c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</row>
    <row r="62" spans="2:15" ht="15.75" customHeight="1" x14ac:dyDescent="0.25">
      <c r="B62" s="167" t="s">
        <v>362</v>
      </c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</row>
    <row r="63" spans="2:15" ht="15.75" customHeight="1" x14ac:dyDescent="0.25">
      <c r="B63" s="167" t="s">
        <v>363</v>
      </c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</row>
    <row r="64" spans="2:15" ht="15.75" customHeight="1" x14ac:dyDescent="0.25">
      <c r="B64" s="167" t="s">
        <v>364</v>
      </c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</row>
    <row r="65" spans="2:15" ht="15.75" customHeight="1" x14ac:dyDescent="0.25">
      <c r="B65" s="167" t="s">
        <v>365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</row>
    <row r="66" spans="2:15" ht="15.75" customHeight="1" x14ac:dyDescent="0.25">
      <c r="B66" s="167" t="s">
        <v>366</v>
      </c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</row>
  </sheetData>
  <mergeCells count="9">
    <mergeCell ref="B66:O66"/>
    <mergeCell ref="B1:O1"/>
    <mergeCell ref="B65:O65"/>
    <mergeCell ref="B2:O2"/>
    <mergeCell ref="B64:O64"/>
    <mergeCell ref="B62:O62"/>
    <mergeCell ref="B63:O63"/>
    <mergeCell ref="B3:O5"/>
    <mergeCell ref="B61:O61"/>
  </mergeCells>
  <conditionalFormatting sqref="M7:M59">
    <cfRule type="cellIs" dxfId="5" priority="3" operator="greaterThan">
      <formula>0</formula>
    </cfRule>
  </conditionalFormatting>
  <conditionalFormatting sqref="N7:N59">
    <cfRule type="cellIs" dxfId="4" priority="2" operator="greaterThan">
      <formula>3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2520-2AC5-4656-9410-D3D7EC2F7250}">
  <sheetPr>
    <tabColor rgb="FFC55A11"/>
    <pageSetUpPr fitToPage="1"/>
  </sheetPr>
  <dimension ref="B1:AF1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B6" sqref="B6"/>
      <selection pane="bottomRight" activeCell="C6" sqref="C6"/>
    </sheetView>
  </sheetViews>
  <sheetFormatPr defaultColWidth="8.7109375" defaultRowHeight="15" x14ac:dyDescent="0.25"/>
  <cols>
    <col min="1" max="1" width="3" customWidth="1"/>
    <col min="2" max="2" width="15" customWidth="1"/>
    <col min="3" max="6" width="9.42578125" customWidth="1"/>
    <col min="7" max="7" width="10" customWidth="1"/>
    <col min="8" max="9" width="11" customWidth="1"/>
    <col min="10" max="10" width="10" customWidth="1"/>
    <col min="11" max="11" width="9.42578125" customWidth="1"/>
    <col min="12" max="12" width="10" customWidth="1"/>
    <col min="13" max="13" width="11" customWidth="1"/>
    <col min="14" max="15" width="10" customWidth="1"/>
    <col min="16" max="16" width="12.42578125" customWidth="1"/>
    <col min="17" max="17" width="13" customWidth="1"/>
    <col min="18" max="18" width="17" customWidth="1"/>
    <col min="19" max="19" width="26" customWidth="1"/>
    <col min="20" max="20" width="16" customWidth="1"/>
    <col min="21" max="21" width="3" customWidth="1"/>
    <col min="22" max="22" width="14" hidden="1" customWidth="1"/>
    <col min="23" max="32" width="10" hidden="1" customWidth="1"/>
  </cols>
  <sheetData>
    <row r="1" spans="2:32" ht="30" customHeight="1" x14ac:dyDescent="0.25">
      <c r="B1" s="169" t="s">
        <v>367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2" ht="63.75" customHeight="1" x14ac:dyDescent="0.25">
      <c r="B2" s="170" t="s">
        <v>368</v>
      </c>
      <c r="C2" s="170"/>
      <c r="D2" s="170"/>
      <c r="E2" s="170"/>
      <c r="F2" s="170"/>
      <c r="G2" s="170"/>
      <c r="H2" s="171" t="s">
        <v>369</v>
      </c>
      <c r="I2" s="171"/>
      <c r="J2" s="171"/>
      <c r="K2" s="171"/>
      <c r="L2" s="171"/>
      <c r="M2" s="171"/>
      <c r="N2" s="171"/>
      <c r="O2" s="64" t="s">
        <v>370</v>
      </c>
      <c r="P2" s="65"/>
      <c r="Q2" s="172" t="str">
        <f>IF($P$2="","❌ HEIGHT MISSING — enter it before recording visits","✔ Height fixed at "&amp;$P$2&amp;" cm — do not change")</f>
        <v>❌ HEIGHT MISSING — enter it before recording visits</v>
      </c>
      <c r="R2" s="172"/>
      <c r="S2" s="172"/>
      <c r="T2" s="172"/>
    </row>
    <row r="3" spans="2:32" ht="48" customHeight="1" x14ac:dyDescent="0.25">
      <c r="B3" s="66" t="s">
        <v>371</v>
      </c>
      <c r="C3" s="66" t="s">
        <v>372</v>
      </c>
      <c r="D3" s="66" t="s">
        <v>373</v>
      </c>
      <c r="E3" s="66" t="s">
        <v>374</v>
      </c>
      <c r="F3" s="66" t="s">
        <v>94</v>
      </c>
      <c r="G3" s="66" t="s">
        <v>97</v>
      </c>
      <c r="H3" s="66" t="s">
        <v>375</v>
      </c>
      <c r="I3" s="66" t="s">
        <v>376</v>
      </c>
      <c r="J3" s="66" t="s">
        <v>377</v>
      </c>
      <c r="K3" s="66" t="s">
        <v>378</v>
      </c>
      <c r="L3" s="66" t="s">
        <v>379</v>
      </c>
      <c r="M3" s="66" t="s">
        <v>380</v>
      </c>
      <c r="N3" s="66" t="s">
        <v>381</v>
      </c>
      <c r="O3" s="66" t="s">
        <v>382</v>
      </c>
      <c r="P3" s="66" t="s">
        <v>383</v>
      </c>
      <c r="Q3" s="66" t="s">
        <v>384</v>
      </c>
      <c r="R3" s="66" t="s">
        <v>385</v>
      </c>
      <c r="S3" s="66" t="s">
        <v>386</v>
      </c>
      <c r="T3" s="66" t="s">
        <v>387</v>
      </c>
    </row>
    <row r="4" spans="2:32" ht="39.950000000000003" customHeight="1" x14ac:dyDescent="0.25">
      <c r="B4" s="67" t="s">
        <v>388</v>
      </c>
      <c r="C4" s="68" t="str">
        <f>IF(NOT(ISNUMBER($B$5)),"",IFERROR(IF(INDEX('📅 Daily Vitals Log'!$M$4:$M$115,MATCH($B$5,'📅 Daily Vitals Log'!$B$4:$B$115,0))="","Not Avl",INDEX('📅 Daily Vitals Log'!$M$4:$M$115,MATCH($B$5,'📅 Daily Vitals Log'!$B$4:$B$115,0))),"Not Avl"))</f>
        <v/>
      </c>
      <c r="D4" s="68" t="str">
        <f>IF(NOT(ISNUMBER($B$5)),"",IFERROR(IF(INDEX('📅 Daily Vitals Log'!$C$4:$C$115,MATCH($B$5,'📅 Daily Vitals Log'!$B$4:$B$115,0))="","Not Avl",INDEX('📅 Daily Vitals Log'!$C$4:$C$115,MATCH($B$5,'📅 Daily Vitals Log'!$B$4:$B$115,0))),"Not Avl"))</f>
        <v/>
      </c>
      <c r="E4" s="68" t="str">
        <f>IF(NOT(ISNUMBER($B$5)),"",IFERROR(IF(INDEX('📅 Daily Vitals Log'!$D$4:$D$115,MATCH($B$5,'📅 Daily Vitals Log'!$B$4:$B$115,0))="","Not Avl",INDEX('📅 Daily Vitals Log'!$D$4:$D$115,MATCH($B$5,'📅 Daily Vitals Log'!$B$4:$B$115,0))),"Not Avl"))</f>
        <v/>
      </c>
      <c r="F4" s="68" t="str">
        <f>IF(NOT(ISNUMBER($B$5)),"",IFERROR(IF(INDEX('📅 Daily Vitals Log'!$E$4:$E$115,MATCH($B$5,'📅 Daily Vitals Log'!$B$4:$B$115,0))="","Not Avl",INDEX('📅 Daily Vitals Log'!$E$4:$E$115,MATCH($B$5,'📅 Daily Vitals Log'!$B$4:$B$115,0))),"Not Avl"))</f>
        <v/>
      </c>
      <c r="G4" s="68" t="str">
        <f>IF(NOT(ISNUMBER($B$5)),"",IFERROR(IF(INDEX('📅 Daily Vitals Log'!$H$4:$H$115,MATCH($B$5,'📅 Daily Vitals Log'!$B$4:$B$115,0))="","Not Avl",INDEX('📅 Daily Vitals Log'!$H$4:$H$115,MATCH($B$5,'📅 Daily Vitals Log'!$B$4:$B$115,0))),"Not Avl"))</f>
        <v/>
      </c>
      <c r="H4" s="68" t="str">
        <f>IF(NOT(ISNUMBER($B$5)),"",IF(NOT(ISNUMBER($P$2)),"Enter Height",IF(ISNUMBER(G4),ROUND(G4/($P$2/100)^2,2),"Not Avl")))</f>
        <v/>
      </c>
      <c r="I4" s="68" t="str">
        <f>IF(NOT(ISNUMBER($B$5)),"",IFERROR(LOOKUP(2,1/(('🧪 Lab Results'!$G$4:$Z$4&lt;=$B$5)*('🧪 Lab Results'!$G$4:$Z$4&lt;&gt;"")*('🧪 Lab Results'!$G$6:$Z$6&lt;&gt;"")),'🧪 Lab Results'!$G$6:$Z$6),"Not Avl"))</f>
        <v/>
      </c>
      <c r="J4" s="68" t="str">
        <f>IF(NOT(ISNUMBER($B$5)),"",IFERROR(LOOKUP(2,1/(('🧪 Lab Results'!$G$4:$Z$4&lt;=$B$5)*('🧪 Lab Results'!$G$4:$Z$4&lt;&gt;"")*('🧪 Lab Results'!$G$7:$Z$7&lt;&gt;"")),'🧪 Lab Results'!$G$7:$Z$7),"Not Avl"))</f>
        <v/>
      </c>
      <c r="K4" s="68" t="str">
        <f>IF(NOT(ISNUMBER($B$5)),"",IFERROR(LOOKUP(2,1/(('🧪 Lab Results'!$G$4:$Z$4&lt;=$B$5)*('🧪 Lab Results'!$G$4:$Z$4&lt;&gt;"")*('🧪 Lab Results'!$G$21:$Z$21&lt;&gt;"")),'🧪 Lab Results'!$G$21:$Z$21),"Not Avl"))</f>
        <v/>
      </c>
      <c r="L4" s="68" t="str">
        <f>IF(NOT(ISNUMBER($B$5)),"",IFERROR(LOOKUP(2,1/(('🧪 Lab Results'!$G$4:$Z$4&lt;=$B$5)*('🧪 Lab Results'!$G$4:$Z$4&lt;&gt;"")*('🧪 Lab Results'!$G$22:$Z$22&lt;&gt;"")),'🧪 Lab Results'!$G$22:$Z$22),"Not Avl"))</f>
        <v/>
      </c>
      <c r="M4" s="68" t="str">
        <f>IF(NOT(ISNUMBER($B$5)),"",IFERROR(LOOKUP(2,1/(('🧪 Lab Results'!$G$4:$Z$4&lt;=$B$5)*('🧪 Lab Results'!$G$4:$Z$4&lt;&gt;"")*('🧪 Lab Results'!$G$23:$Z$23&lt;&gt;"")),'🧪 Lab Results'!$G$23:$Z$23),"Not Avl"))</f>
        <v/>
      </c>
      <c r="N4" s="68" t="str">
        <f>IF(NOT(ISNUMBER($B$5)),"",IFERROR(LOOKUP(2,1/(('🧪 Lab Results'!$G$4:$Z$4&lt;=$B$5)*('🧪 Lab Results'!$G$4:$Z$4&lt;&gt;"")*('🧪 Lab Results'!$G$38:$Z$38&lt;&gt;"")),'🧪 Lab Results'!$G$38:$Z$38),"Not Avl"))</f>
        <v/>
      </c>
      <c r="O4" s="68" t="str">
        <f>IF(NOT(ISNUMBER($B$5)),"",IFERROR(LOOKUP(2,1/(('🧪 Lab Results'!$G$4:$Z$4&lt;=$B$5)*('🧪 Lab Results'!$G$4:$Z$4&lt;&gt;"")*('🧪 Lab Results'!$G$8:$Z$8&lt;&gt;"")),'🧪 Lab Results'!$G$8:$Z$8),"Not Avl"))</f>
        <v/>
      </c>
      <c r="P4" s="68" t="str">
        <f>IF(NOT(ISNUMBER($B$5)),"",IFERROR(LOOKUP(2,1/(('🧪 Lab Results'!$G$4:$Z$4&lt;=$B$5)*('🧪 Lab Results'!$G$4:$Z$4&lt;&gt;"")*('🧪 Lab Results'!$G$32:$Z$32&lt;&gt;"")),'🧪 Lab Results'!$G$32:$Z$32),"Not Avl"))</f>
        <v/>
      </c>
      <c r="Q4" s="69"/>
      <c r="R4" s="82" t="s">
        <v>512</v>
      </c>
      <c r="S4" s="82" t="str">
        <f>IF(NOT(ISNUMBER($B$5)),"",IF(NOT(ISNUMBER('👤 Patient Info'!$F$11)),"Enter Transplant Date (Patient Info)",IF($B$5&lt;'👤 Patient Info'!$F$11,"Date is before the transplant date","Post-Tx "&amp;DATEDIF('👤 Patient Info'!$F$11,$B$5,"m")&amp;" m "&amp;DATEDIF('👤 Patient Info'!$F$11,$B$5,"md")&amp;" d  ▪ "&amp;CHOOSE(MATCH($AF$4,{15,30,60,90},0),"15-day visits","Monthly visits","Bi-monthly visits","Quarterly visits")&amp;" ("&amp;$AF$4&amp;" d)")))</f>
        <v/>
      </c>
      <c r="T4" s="83" t="str">
        <f>IF(ISNUMBER($AF$4),$B$5+$AF$4,"")</f>
        <v/>
      </c>
      <c r="W4" s="79" t="str">
        <f>IF(ISNUMBER($B$5),SUMPRODUCT(MAX(('🧪 Lab Results'!$G$4:$Z$4&lt;=$B$5)*('🧪 Lab Results'!$G$4:$Z$4&lt;&gt;"")*'🧪 Lab Results'!$G$4:$Z$4)),"")</f>
        <v/>
      </c>
      <c r="X4" s="79" t="str">
        <f>IF(NOT(ISNUMBER($B$5)),"",IFERROR(LOOKUP(2,1/(('🧪 Lab Results'!$G$4:$Z$4&lt;=$B$5)*('🧪 Lab Results'!$G$4:$Z$4&lt;&gt;"")*('🧪 Lab Results'!$G$6:$Z$6&lt;&gt;"")),'🧪 Lab Results'!$G$4:$Z$4),""))</f>
        <v/>
      </c>
      <c r="Y4" s="79" t="str">
        <f>IF(NOT(ISNUMBER($B$5)),"",IFERROR(LOOKUP(2,1/(('🧪 Lab Results'!$G$4:$Z$4&lt;=$B$5)*('🧪 Lab Results'!$G$4:$Z$4&lt;&gt;"")*('🧪 Lab Results'!$G$7:$Z$7&lt;&gt;"")),'🧪 Lab Results'!$G$4:$Z$4),""))</f>
        <v/>
      </c>
      <c r="Z4" s="79" t="str">
        <f>IF(NOT(ISNUMBER($B$5)),"",IFERROR(LOOKUP(2,1/(('🧪 Lab Results'!$G$4:$Z$4&lt;=$B$5)*('🧪 Lab Results'!$G$4:$Z$4&lt;&gt;"")*('🧪 Lab Results'!$G$21:$Z$21&lt;&gt;"")),'🧪 Lab Results'!$G$4:$Z$4),""))</f>
        <v/>
      </c>
      <c r="AA4" s="79" t="str">
        <f>IF(NOT(ISNUMBER($B$5)),"",IFERROR(LOOKUP(2,1/(('🧪 Lab Results'!$G$4:$Z$4&lt;=$B$5)*('🧪 Lab Results'!$G$4:$Z$4&lt;&gt;"")*('🧪 Lab Results'!$G$22:$Z$22&lt;&gt;"")),'🧪 Lab Results'!$G$4:$Z$4),""))</f>
        <v/>
      </c>
      <c r="AB4" s="79" t="str">
        <f>IF(NOT(ISNUMBER($B$5)),"",IFERROR(LOOKUP(2,1/(('🧪 Lab Results'!$G$4:$Z$4&lt;=$B$5)*('🧪 Lab Results'!$G$4:$Z$4&lt;&gt;"")*('🧪 Lab Results'!$G$23:$Z$23&lt;&gt;"")),'🧪 Lab Results'!$G$4:$Z$4),""))</f>
        <v/>
      </c>
      <c r="AC4" s="79" t="str">
        <f>IF(NOT(ISNUMBER($B$5)),"",IFERROR(LOOKUP(2,1/(('🧪 Lab Results'!$G$4:$Z$4&lt;=$B$5)*('🧪 Lab Results'!$G$4:$Z$4&lt;&gt;"")*('🧪 Lab Results'!$G$38:$Z$38&lt;&gt;"")),'🧪 Lab Results'!$G$4:$Z$4),""))</f>
        <v/>
      </c>
      <c r="AD4" s="79" t="str">
        <f>IF(NOT(ISNUMBER($B$5)),"",IFERROR(LOOKUP(2,1/(('🧪 Lab Results'!$G$4:$Z$4&lt;=$B$5)*('🧪 Lab Results'!$G$4:$Z$4&lt;&gt;"")*('🧪 Lab Results'!$G$8:$Z$8&lt;&gt;"")),'🧪 Lab Results'!$G$4:$Z$4),""))</f>
        <v/>
      </c>
      <c r="AE4" s="79" t="str">
        <f>IF(NOT(ISNUMBER($B$5)),"",IFERROR(LOOKUP(2,1/(('🧪 Lab Results'!$G$4:$Z$4&lt;=$B$5)*('🧪 Lab Results'!$G$4:$Z$4&lt;&gt;"")*('🧪 Lab Results'!$G$32:$Z$32&lt;&gt;"")),'🧪 Lab Results'!$G$4:$Z$4),""))</f>
        <v/>
      </c>
      <c r="AF4" s="79" t="str">
        <f>IF(OR(NOT(ISNUMBER($B$5)),NOT(ISNUMBER('👤 Patient Info'!$F$11))),"",IF($B$5&lt;'👤 Patient Info'!$F$11,"",MAX(IF($B$5&lt;EDATE('👤 Patient Info'!$F$11,1),15,IF($B$5&lt;EDATE('👤 Patient Info'!$F$11,6),30,IF($B$5&lt;EDATE('👤 Patient Info'!$F$11,12),60,90))),IF(($B$5+IF($B$5&lt;EDATE('👤 Patient Info'!$F$11,1),15,IF($B$5&lt;EDATE('👤 Patient Info'!$F$11,6),30,IF($B$5&lt;EDATE('👤 Patient Info'!$F$11,12),60,90))))&lt;EDATE('👤 Patient Info'!$F$11,1),15,IF(($B$5+IF($B$5&lt;EDATE('👤 Patient Info'!$F$11,1),15,IF($B$5&lt;EDATE('👤 Patient Info'!$F$11,6),30,IF($B$5&lt;EDATE('👤 Patient Info'!$F$11,12),60,90))))&lt;EDATE('👤 Patient Info'!$F$11,6),30,IF(($B$5+IF($B$5&lt;EDATE('👤 Patient Info'!$F$11,1),15,IF($B$5&lt;EDATE('👤 Patient Info'!$F$11,6),30,IF($B$5&lt;EDATE('👤 Patient Info'!$F$11,12),60,90))))&lt;EDATE('👤 Patient Info'!$F$11,12),60,90))))))</f>
        <v/>
      </c>
    </row>
    <row r="5" spans="2:32" ht="36" customHeight="1" x14ac:dyDescent="0.25">
      <c r="B5" s="70" t="s">
        <v>513</v>
      </c>
      <c r="C5" s="173" t="s">
        <v>389</v>
      </c>
      <c r="D5" s="173"/>
      <c r="E5" s="173"/>
      <c r="F5" s="173"/>
      <c r="G5" s="173"/>
      <c r="H5" s="71" t="s">
        <v>390</v>
      </c>
      <c r="I5" s="174" t="str">
        <f>"Data from :  Lab Results  —  latest available result on / before the selected date"&amp;IF(ISNUMBER($B$5),IF(SUMPRODUCT(MAX(('🧪 Lab Results'!$G$4:$Z$4&lt;=$B$5)*('🧪 Lab Results'!$G$4:$Z$4&lt;&gt;"")*'🧪 Lab Results'!$G$4:$Z$4))=0,"   (no earlier lab on record)","   (newest lab date used: "&amp;TEXT(SUMPRODUCT(MAX(('🧪 Lab Results'!$G$4:$Z$4&lt;=$B$5)*('🧪 Lab Results'!$G$4:$Z$4&lt;&gt;"")*'🧪 Lab Results'!$G$4:$Z$4)),"dd-mmm-yyyy")&amp;")"),"")&amp;"     ▪ DARKER pink = older result carried forward"</f>
        <v>Data from :  Lab Results  —  latest available result on / before the selected date     ▪ DARKER pink = older result carried forward</v>
      </c>
      <c r="J5" s="174"/>
      <c r="K5" s="174"/>
      <c r="L5" s="174"/>
      <c r="M5" s="174"/>
      <c r="N5" s="174"/>
      <c r="O5" s="174"/>
      <c r="P5" s="174"/>
      <c r="Q5" s="175" t="s">
        <v>391</v>
      </c>
      <c r="R5" s="175"/>
      <c r="S5" s="175"/>
      <c r="T5" s="175"/>
    </row>
    <row r="6" spans="2:32" ht="26.1" customHeight="1" x14ac:dyDescent="0.25">
      <c r="B6" s="72"/>
      <c r="C6" s="73"/>
      <c r="D6" s="73"/>
      <c r="E6" s="73"/>
      <c r="F6" s="73"/>
      <c r="G6" s="73"/>
      <c r="H6" s="74"/>
      <c r="I6" s="75"/>
      <c r="J6" s="75"/>
      <c r="K6" s="75"/>
      <c r="L6" s="75"/>
      <c r="M6" s="75"/>
      <c r="N6" s="75"/>
      <c r="O6" s="75"/>
      <c r="P6" s="75"/>
      <c r="Q6" s="76"/>
      <c r="R6" s="76"/>
      <c r="S6" s="77"/>
      <c r="T6" s="78"/>
      <c r="V6" s="79" t="str">
        <f>IFERROR(LARGE('📅 Daily Vitals Log'!$B$4:$B$115,ROWS($V$6:V6)),"")</f>
        <v/>
      </c>
    </row>
    <row r="7" spans="2:32" ht="26.1" customHeight="1" x14ac:dyDescent="0.25">
      <c r="B7" s="72"/>
      <c r="C7" s="73"/>
      <c r="D7" s="73"/>
      <c r="E7" s="73"/>
      <c r="F7" s="73"/>
      <c r="G7" s="73"/>
      <c r="H7" s="74"/>
      <c r="I7" s="75"/>
      <c r="J7" s="75"/>
      <c r="K7" s="75"/>
      <c r="L7" s="75"/>
      <c r="M7" s="75"/>
      <c r="N7" s="75"/>
      <c r="O7" s="75"/>
      <c r="P7" s="75"/>
      <c r="Q7" s="76"/>
      <c r="R7" s="76"/>
      <c r="S7" s="77"/>
      <c r="T7" s="78"/>
      <c r="V7" s="79" t="str">
        <f>IFERROR(LARGE('📅 Daily Vitals Log'!$B$4:$B$115,ROWS($V$6:V7)),"")</f>
        <v/>
      </c>
    </row>
    <row r="8" spans="2:32" ht="26.1" customHeight="1" x14ac:dyDescent="0.25">
      <c r="B8" s="72"/>
      <c r="C8" s="73"/>
      <c r="D8" s="73"/>
      <c r="E8" s="73"/>
      <c r="F8" s="73"/>
      <c r="G8" s="73"/>
      <c r="H8" s="74"/>
      <c r="I8" s="75"/>
      <c r="J8" s="75"/>
      <c r="K8" s="75"/>
      <c r="L8" s="75"/>
      <c r="M8" s="75"/>
      <c r="N8" s="75"/>
      <c r="O8" s="75"/>
      <c r="P8" s="75"/>
      <c r="Q8" s="76"/>
      <c r="R8" s="76"/>
      <c r="S8" s="77"/>
      <c r="T8" s="78"/>
      <c r="V8" s="79" t="str">
        <f>IFERROR(LARGE('📅 Daily Vitals Log'!$B$4:$B$115,ROWS($V$6:V8)),"")</f>
        <v/>
      </c>
    </row>
    <row r="9" spans="2:32" ht="26.1" customHeight="1" x14ac:dyDescent="0.25">
      <c r="B9" s="72"/>
      <c r="C9" s="73"/>
      <c r="D9" s="73"/>
      <c r="E9" s="73"/>
      <c r="F9" s="73"/>
      <c r="G9" s="73"/>
      <c r="H9" s="74"/>
      <c r="I9" s="75"/>
      <c r="J9" s="75"/>
      <c r="K9" s="75"/>
      <c r="L9" s="75"/>
      <c r="M9" s="75"/>
      <c r="N9" s="75"/>
      <c r="O9" s="75"/>
      <c r="P9" s="75"/>
      <c r="Q9" s="76"/>
      <c r="R9" s="76"/>
      <c r="S9" s="77"/>
      <c r="T9" s="78"/>
      <c r="V9" s="79" t="str">
        <f>IFERROR(LARGE('📅 Daily Vitals Log'!$B$4:$B$115,ROWS($V$6:V9)),"")</f>
        <v/>
      </c>
    </row>
    <row r="10" spans="2:32" ht="26.1" customHeight="1" x14ac:dyDescent="0.25">
      <c r="B10" s="72"/>
      <c r="C10" s="80"/>
      <c r="D10" s="80"/>
      <c r="E10" s="80"/>
      <c r="F10" s="80"/>
      <c r="G10" s="80"/>
      <c r="H10" s="81"/>
      <c r="I10" s="75"/>
      <c r="J10" s="75"/>
      <c r="K10" s="75"/>
      <c r="L10" s="75"/>
      <c r="M10" s="75"/>
      <c r="N10" s="75"/>
      <c r="O10" s="75"/>
      <c r="P10" s="75"/>
      <c r="Q10" s="76"/>
      <c r="R10" s="76"/>
      <c r="S10" s="77"/>
      <c r="T10" s="78"/>
      <c r="V10" s="79" t="str">
        <f>IFERROR(LARGE('📅 Daily Vitals Log'!$B$4:$B$115,ROWS($V$6:V10)),"")</f>
        <v/>
      </c>
    </row>
    <row r="11" spans="2:32" ht="26.1" customHeight="1" x14ac:dyDescent="0.25">
      <c r="B11" s="72"/>
      <c r="C11" s="73"/>
      <c r="D11" s="73"/>
      <c r="E11" s="73"/>
      <c r="F11" s="73"/>
      <c r="G11" s="73"/>
      <c r="H11" s="74"/>
      <c r="I11" s="75"/>
      <c r="J11" s="75"/>
      <c r="K11" s="75"/>
      <c r="L11" s="75"/>
      <c r="M11" s="75"/>
      <c r="N11" s="75"/>
      <c r="O11" s="75"/>
      <c r="P11" s="75"/>
      <c r="Q11" s="76"/>
      <c r="R11" s="76"/>
      <c r="S11" s="77"/>
      <c r="T11" s="78"/>
      <c r="V11" s="79" t="str">
        <f>IFERROR(LARGE('📅 Daily Vitals Log'!$B$4:$B$115,ROWS($V$6:V11)),"")</f>
        <v/>
      </c>
    </row>
    <row r="12" spans="2:32" ht="26.1" customHeight="1" x14ac:dyDescent="0.25">
      <c r="B12" s="72"/>
      <c r="C12" s="73"/>
      <c r="D12" s="73"/>
      <c r="E12" s="73"/>
      <c r="F12" s="73"/>
      <c r="G12" s="73"/>
      <c r="H12" s="74"/>
      <c r="I12" s="75"/>
      <c r="J12" s="75"/>
      <c r="K12" s="75"/>
      <c r="L12" s="75"/>
      <c r="M12" s="75"/>
      <c r="N12" s="75"/>
      <c r="O12" s="75"/>
      <c r="P12" s="75"/>
      <c r="Q12" s="76"/>
      <c r="R12" s="76"/>
      <c r="S12" s="77"/>
      <c r="T12" s="78"/>
      <c r="V12" s="79" t="str">
        <f>IFERROR(LARGE('📅 Daily Vitals Log'!$B$4:$B$115,ROWS($V$6:V12)),"")</f>
        <v/>
      </c>
    </row>
    <row r="13" spans="2:32" ht="26.1" customHeight="1" x14ac:dyDescent="0.25">
      <c r="B13" s="72"/>
      <c r="C13" s="73"/>
      <c r="D13" s="73"/>
      <c r="E13" s="73"/>
      <c r="F13" s="73"/>
      <c r="G13" s="73"/>
      <c r="H13" s="74"/>
      <c r="I13" s="75"/>
      <c r="J13" s="75"/>
      <c r="K13" s="75"/>
      <c r="L13" s="75"/>
      <c r="M13" s="75"/>
      <c r="N13" s="75"/>
      <c r="O13" s="75"/>
      <c r="P13" s="75"/>
      <c r="Q13" s="76"/>
      <c r="R13" s="76"/>
      <c r="S13" s="77"/>
      <c r="T13" s="78"/>
      <c r="V13" s="79" t="str">
        <f>IFERROR(LARGE('📅 Daily Vitals Log'!$B$4:$B$115,ROWS($V$6:V13)),"")</f>
        <v/>
      </c>
    </row>
    <row r="14" spans="2:32" ht="26.1" customHeight="1" x14ac:dyDescent="0.25">
      <c r="B14" s="72"/>
      <c r="C14" s="73"/>
      <c r="D14" s="73"/>
      <c r="E14" s="73"/>
      <c r="F14" s="73"/>
      <c r="G14" s="73"/>
      <c r="H14" s="74"/>
      <c r="I14" s="75"/>
      <c r="J14" s="75"/>
      <c r="K14" s="75"/>
      <c r="L14" s="75"/>
      <c r="M14" s="75"/>
      <c r="N14" s="75"/>
      <c r="O14" s="75"/>
      <c r="P14" s="75"/>
      <c r="Q14" s="76"/>
      <c r="R14" s="76"/>
      <c r="S14" s="77"/>
      <c r="T14" s="78"/>
      <c r="V14" s="79" t="str">
        <f>IFERROR(LARGE('📅 Daily Vitals Log'!$B$4:$B$115,ROWS($V$6:V14)),"")</f>
        <v/>
      </c>
    </row>
    <row r="15" spans="2:32" ht="26.1" customHeight="1" x14ac:dyDescent="0.25">
      <c r="B15" s="72"/>
      <c r="C15" s="73"/>
      <c r="D15" s="73"/>
      <c r="E15" s="73"/>
      <c r="F15" s="73"/>
      <c r="G15" s="73"/>
      <c r="H15" s="74"/>
      <c r="I15" s="75"/>
      <c r="J15" s="75"/>
      <c r="K15" s="75"/>
      <c r="L15" s="75"/>
      <c r="M15" s="75"/>
      <c r="N15" s="75"/>
      <c r="O15" s="75"/>
      <c r="P15" s="75"/>
      <c r="Q15" s="76"/>
      <c r="R15" s="76"/>
      <c r="S15" s="77"/>
      <c r="T15" s="78"/>
      <c r="V15" s="79" t="str">
        <f>IFERROR(LARGE('📅 Daily Vitals Log'!$B$4:$B$115,ROWS($V$6:V15)),"")</f>
        <v/>
      </c>
    </row>
    <row r="16" spans="2:32" ht="26.1" customHeight="1" x14ac:dyDescent="0.25">
      <c r="B16" s="72"/>
      <c r="C16" s="73"/>
      <c r="D16" s="73"/>
      <c r="E16" s="73"/>
      <c r="F16" s="73"/>
      <c r="G16" s="73"/>
      <c r="H16" s="74"/>
      <c r="I16" s="75"/>
      <c r="J16" s="75"/>
      <c r="K16" s="75"/>
      <c r="L16" s="75"/>
      <c r="M16" s="75"/>
      <c r="N16" s="75"/>
      <c r="O16" s="75"/>
      <c r="P16" s="75"/>
      <c r="Q16" s="76"/>
      <c r="R16" s="76"/>
      <c r="S16" s="77"/>
      <c r="T16" s="78"/>
      <c r="V16" s="79" t="str">
        <f>IFERROR(LARGE('📅 Daily Vitals Log'!$B$4:$B$115,ROWS($V$6:V16)),"")</f>
        <v/>
      </c>
    </row>
    <row r="17" spans="2:22" ht="26.1" customHeight="1" x14ac:dyDescent="0.25">
      <c r="B17" s="72"/>
      <c r="C17" s="73"/>
      <c r="D17" s="73"/>
      <c r="E17" s="73"/>
      <c r="F17" s="73"/>
      <c r="G17" s="73"/>
      <c r="H17" s="74"/>
      <c r="I17" s="75"/>
      <c r="J17" s="75"/>
      <c r="K17" s="75"/>
      <c r="L17" s="75"/>
      <c r="M17" s="75"/>
      <c r="N17" s="75"/>
      <c r="O17" s="75"/>
      <c r="P17" s="75"/>
      <c r="Q17" s="76"/>
      <c r="R17" s="76"/>
      <c r="S17" s="77"/>
      <c r="T17" s="78"/>
      <c r="V17" s="79" t="str">
        <f>IFERROR(LARGE('📅 Daily Vitals Log'!$B$4:$B$115,ROWS($V$6:V17)),"")</f>
        <v/>
      </c>
    </row>
    <row r="18" spans="2:22" ht="26.1" customHeight="1" x14ac:dyDescent="0.25">
      <c r="B18" s="72"/>
      <c r="C18" s="73"/>
      <c r="D18" s="73"/>
      <c r="E18" s="73"/>
      <c r="F18" s="73"/>
      <c r="G18" s="73"/>
      <c r="H18" s="74"/>
      <c r="I18" s="75"/>
      <c r="J18" s="75"/>
      <c r="K18" s="75"/>
      <c r="L18" s="75"/>
      <c r="M18" s="75"/>
      <c r="N18" s="75"/>
      <c r="O18" s="75"/>
      <c r="P18" s="75"/>
      <c r="Q18" s="76"/>
      <c r="R18" s="76"/>
      <c r="S18" s="77"/>
      <c r="T18" s="78"/>
      <c r="V18" s="79" t="str">
        <f>IFERROR(LARGE('📅 Daily Vitals Log'!$B$4:$B$115,ROWS($V$6:V18)),"")</f>
        <v/>
      </c>
    </row>
    <row r="19" spans="2:22" ht="26.1" customHeight="1" x14ac:dyDescent="0.25">
      <c r="B19" s="72"/>
      <c r="C19" s="73"/>
      <c r="D19" s="73"/>
      <c r="E19" s="73"/>
      <c r="F19" s="73"/>
      <c r="G19" s="73"/>
      <c r="H19" s="74"/>
      <c r="I19" s="75"/>
      <c r="J19" s="75"/>
      <c r="K19" s="75"/>
      <c r="L19" s="75"/>
      <c r="M19" s="75"/>
      <c r="N19" s="75"/>
      <c r="O19" s="75"/>
      <c r="P19" s="75"/>
      <c r="Q19" s="76"/>
      <c r="R19" s="76"/>
      <c r="S19" s="77"/>
      <c r="T19" s="78"/>
      <c r="V19" s="79" t="str">
        <f>IFERROR(LARGE('📅 Daily Vitals Log'!$B$4:$B$115,ROWS($V$6:V19)),"")</f>
        <v/>
      </c>
    </row>
    <row r="20" spans="2:22" ht="26.1" customHeight="1" x14ac:dyDescent="0.25">
      <c r="B20" s="72"/>
      <c r="C20" s="73"/>
      <c r="D20" s="73"/>
      <c r="E20" s="73"/>
      <c r="F20" s="73"/>
      <c r="G20" s="73"/>
      <c r="H20" s="74"/>
      <c r="I20" s="75"/>
      <c r="J20" s="75"/>
      <c r="K20" s="75"/>
      <c r="L20" s="75"/>
      <c r="M20" s="75"/>
      <c r="N20" s="75"/>
      <c r="O20" s="75"/>
      <c r="P20" s="75"/>
      <c r="Q20" s="76"/>
      <c r="R20" s="76"/>
      <c r="S20" s="77"/>
      <c r="T20" s="78"/>
      <c r="V20" s="79" t="str">
        <f>IFERROR(LARGE('📅 Daily Vitals Log'!$B$4:$B$115,ROWS($V$6:V20)),"")</f>
        <v/>
      </c>
    </row>
    <row r="21" spans="2:22" ht="26.1" customHeight="1" x14ac:dyDescent="0.25">
      <c r="B21" s="72"/>
      <c r="C21" s="73"/>
      <c r="D21" s="73"/>
      <c r="E21" s="73"/>
      <c r="F21" s="73"/>
      <c r="G21" s="73"/>
      <c r="H21" s="74"/>
      <c r="I21" s="75"/>
      <c r="J21" s="75"/>
      <c r="K21" s="75"/>
      <c r="L21" s="75"/>
      <c r="M21" s="75"/>
      <c r="N21" s="75"/>
      <c r="O21" s="75"/>
      <c r="P21" s="75"/>
      <c r="Q21" s="76"/>
      <c r="R21" s="76"/>
      <c r="S21" s="77"/>
      <c r="T21" s="78"/>
      <c r="V21" s="79" t="str">
        <f>IFERROR(LARGE('📅 Daily Vitals Log'!$B$4:$B$115,ROWS($V$6:V21)),"")</f>
        <v/>
      </c>
    </row>
    <row r="22" spans="2:22" ht="26.1" customHeight="1" x14ac:dyDescent="0.25">
      <c r="B22" s="72"/>
      <c r="C22" s="73"/>
      <c r="D22" s="73"/>
      <c r="E22" s="73"/>
      <c r="F22" s="73"/>
      <c r="G22" s="73"/>
      <c r="H22" s="74"/>
      <c r="I22" s="75"/>
      <c r="J22" s="75"/>
      <c r="K22" s="75"/>
      <c r="L22" s="75"/>
      <c r="M22" s="75"/>
      <c r="N22" s="75"/>
      <c r="O22" s="75"/>
      <c r="P22" s="75"/>
      <c r="Q22" s="76"/>
      <c r="R22" s="76"/>
      <c r="S22" s="77"/>
      <c r="T22" s="78"/>
      <c r="V22" s="79" t="str">
        <f>IFERROR(LARGE('📅 Daily Vitals Log'!$B$4:$B$115,ROWS($V$6:V22)),"")</f>
        <v/>
      </c>
    </row>
    <row r="23" spans="2:22" ht="26.1" customHeight="1" x14ac:dyDescent="0.25">
      <c r="B23" s="72"/>
      <c r="C23" s="73"/>
      <c r="D23" s="73"/>
      <c r="E23" s="73"/>
      <c r="F23" s="73"/>
      <c r="G23" s="73"/>
      <c r="H23" s="74"/>
      <c r="I23" s="75"/>
      <c r="J23" s="75"/>
      <c r="K23" s="75"/>
      <c r="L23" s="75"/>
      <c r="M23" s="75"/>
      <c r="N23" s="75"/>
      <c r="O23" s="75"/>
      <c r="P23" s="75"/>
      <c r="Q23" s="76"/>
      <c r="R23" s="76"/>
      <c r="S23" s="77"/>
      <c r="T23" s="78"/>
      <c r="V23" s="79" t="str">
        <f>IFERROR(LARGE('📅 Daily Vitals Log'!$B$4:$B$115,ROWS($V$6:V23)),"")</f>
        <v/>
      </c>
    </row>
    <row r="24" spans="2:22" ht="26.1" customHeight="1" x14ac:dyDescent="0.25">
      <c r="B24" s="72"/>
      <c r="C24" s="73"/>
      <c r="D24" s="73"/>
      <c r="E24" s="73"/>
      <c r="F24" s="73"/>
      <c r="G24" s="73"/>
      <c r="H24" s="74"/>
      <c r="I24" s="75"/>
      <c r="J24" s="75"/>
      <c r="K24" s="75"/>
      <c r="L24" s="75"/>
      <c r="M24" s="75"/>
      <c r="N24" s="75"/>
      <c r="O24" s="75"/>
      <c r="P24" s="75"/>
      <c r="Q24" s="76"/>
      <c r="R24" s="76"/>
      <c r="S24" s="77"/>
      <c r="T24" s="78"/>
      <c r="V24" s="79" t="str">
        <f>IFERROR(LARGE('📅 Daily Vitals Log'!$B$4:$B$115,ROWS($V$6:V24)),"")</f>
        <v/>
      </c>
    </row>
    <row r="25" spans="2:22" ht="26.1" customHeight="1" x14ac:dyDescent="0.25">
      <c r="B25" s="72"/>
      <c r="C25" s="73"/>
      <c r="D25" s="73"/>
      <c r="E25" s="73"/>
      <c r="F25" s="73"/>
      <c r="G25" s="73"/>
      <c r="H25" s="74"/>
      <c r="I25" s="75"/>
      <c r="J25" s="75"/>
      <c r="K25" s="75"/>
      <c r="L25" s="75"/>
      <c r="M25" s="75"/>
      <c r="N25" s="75"/>
      <c r="O25" s="75"/>
      <c r="P25" s="75"/>
      <c r="Q25" s="76"/>
      <c r="R25" s="76"/>
      <c r="S25" s="77"/>
      <c r="T25" s="78"/>
      <c r="V25" s="79" t="str">
        <f>IFERROR(LARGE('📅 Daily Vitals Log'!$B$4:$B$115,ROWS($V$6:V25)),"")</f>
        <v/>
      </c>
    </row>
    <row r="26" spans="2:22" ht="26.1" customHeight="1" x14ac:dyDescent="0.25">
      <c r="B26" s="72"/>
      <c r="C26" s="73"/>
      <c r="D26" s="73"/>
      <c r="E26" s="73"/>
      <c r="F26" s="73"/>
      <c r="G26" s="73"/>
      <c r="H26" s="74"/>
      <c r="I26" s="75"/>
      <c r="J26" s="75"/>
      <c r="K26" s="75"/>
      <c r="L26" s="75"/>
      <c r="M26" s="75"/>
      <c r="N26" s="75"/>
      <c r="O26" s="75"/>
      <c r="P26" s="75"/>
      <c r="Q26" s="76"/>
      <c r="R26" s="76"/>
      <c r="S26" s="77"/>
      <c r="T26" s="78"/>
      <c r="V26" s="79" t="str">
        <f>IFERROR(LARGE('📅 Daily Vitals Log'!$B$4:$B$115,ROWS($V$6:V26)),"")</f>
        <v/>
      </c>
    </row>
    <row r="27" spans="2:22" ht="26.1" customHeight="1" x14ac:dyDescent="0.25">
      <c r="B27" s="72"/>
      <c r="C27" s="73"/>
      <c r="D27" s="73"/>
      <c r="E27" s="73"/>
      <c r="F27" s="73"/>
      <c r="G27" s="73"/>
      <c r="H27" s="74"/>
      <c r="I27" s="75"/>
      <c r="J27" s="75"/>
      <c r="K27" s="75"/>
      <c r="L27" s="75"/>
      <c r="M27" s="75"/>
      <c r="N27" s="75"/>
      <c r="O27" s="75"/>
      <c r="P27" s="75"/>
      <c r="Q27" s="76"/>
      <c r="R27" s="76"/>
      <c r="S27" s="77"/>
      <c r="T27" s="78"/>
      <c r="V27" s="79" t="str">
        <f>IFERROR(LARGE('📅 Daily Vitals Log'!$B$4:$B$115,ROWS($V$6:V27)),"")</f>
        <v/>
      </c>
    </row>
    <row r="28" spans="2:22" ht="26.1" customHeight="1" x14ac:dyDescent="0.25">
      <c r="B28" s="72"/>
      <c r="C28" s="73"/>
      <c r="D28" s="73"/>
      <c r="E28" s="73"/>
      <c r="F28" s="73"/>
      <c r="G28" s="73"/>
      <c r="H28" s="74"/>
      <c r="I28" s="75"/>
      <c r="J28" s="75"/>
      <c r="K28" s="75"/>
      <c r="L28" s="75"/>
      <c r="M28" s="75"/>
      <c r="N28" s="75"/>
      <c r="O28" s="75"/>
      <c r="P28" s="75"/>
      <c r="Q28" s="76"/>
      <c r="R28" s="76"/>
      <c r="S28" s="77"/>
      <c r="T28" s="78"/>
      <c r="V28" s="79" t="str">
        <f>IFERROR(LARGE('📅 Daily Vitals Log'!$B$4:$B$115,ROWS($V$6:V28)),"")</f>
        <v/>
      </c>
    </row>
    <row r="29" spans="2:22" ht="26.1" customHeight="1" x14ac:dyDescent="0.25">
      <c r="B29" s="72"/>
      <c r="C29" s="73"/>
      <c r="D29" s="73"/>
      <c r="E29" s="73"/>
      <c r="F29" s="73"/>
      <c r="G29" s="73"/>
      <c r="H29" s="74"/>
      <c r="I29" s="75"/>
      <c r="J29" s="75"/>
      <c r="K29" s="75"/>
      <c r="L29" s="75"/>
      <c r="M29" s="75"/>
      <c r="N29" s="75"/>
      <c r="O29" s="75"/>
      <c r="P29" s="75"/>
      <c r="Q29" s="76"/>
      <c r="R29" s="76"/>
      <c r="S29" s="77"/>
      <c r="T29" s="78"/>
      <c r="V29" s="79" t="str">
        <f>IFERROR(LARGE('📅 Daily Vitals Log'!$B$4:$B$115,ROWS($V$6:V29)),"")</f>
        <v/>
      </c>
    </row>
    <row r="30" spans="2:22" ht="26.1" customHeight="1" x14ac:dyDescent="0.25">
      <c r="B30" s="72"/>
      <c r="C30" s="73"/>
      <c r="D30" s="73"/>
      <c r="E30" s="73"/>
      <c r="F30" s="73"/>
      <c r="G30" s="73"/>
      <c r="H30" s="74"/>
      <c r="I30" s="75"/>
      <c r="J30" s="75"/>
      <c r="K30" s="75"/>
      <c r="L30" s="75"/>
      <c r="M30" s="75"/>
      <c r="N30" s="75"/>
      <c r="O30" s="75"/>
      <c r="P30" s="75"/>
      <c r="Q30" s="76"/>
      <c r="R30" s="76"/>
      <c r="S30" s="77"/>
      <c r="T30" s="78"/>
      <c r="V30" s="79" t="str">
        <f>IFERROR(LARGE('📅 Daily Vitals Log'!$B$4:$B$115,ROWS($V$6:V30)),"")</f>
        <v/>
      </c>
    </row>
    <row r="31" spans="2:22" ht="26.1" customHeight="1" x14ac:dyDescent="0.25">
      <c r="B31" s="72"/>
      <c r="C31" s="73"/>
      <c r="D31" s="73"/>
      <c r="E31" s="73"/>
      <c r="F31" s="73"/>
      <c r="G31" s="73"/>
      <c r="H31" s="74"/>
      <c r="I31" s="75"/>
      <c r="J31" s="75"/>
      <c r="K31" s="75"/>
      <c r="L31" s="75"/>
      <c r="M31" s="75"/>
      <c r="N31" s="75"/>
      <c r="O31" s="75"/>
      <c r="P31" s="75"/>
      <c r="Q31" s="76"/>
      <c r="R31" s="76"/>
      <c r="S31" s="77"/>
      <c r="T31" s="78"/>
      <c r="V31" s="79" t="str">
        <f>IFERROR(LARGE('📅 Daily Vitals Log'!$B$4:$B$115,ROWS($V$6:V31)),"")</f>
        <v/>
      </c>
    </row>
    <row r="32" spans="2:22" ht="26.1" customHeight="1" x14ac:dyDescent="0.25">
      <c r="B32" s="72"/>
      <c r="C32" s="73"/>
      <c r="D32" s="73"/>
      <c r="E32" s="73"/>
      <c r="F32" s="73"/>
      <c r="G32" s="73"/>
      <c r="H32" s="74"/>
      <c r="I32" s="75"/>
      <c r="J32" s="75"/>
      <c r="K32" s="75"/>
      <c r="L32" s="75"/>
      <c r="M32" s="75"/>
      <c r="N32" s="75"/>
      <c r="O32" s="75"/>
      <c r="P32" s="75"/>
      <c r="Q32" s="76"/>
      <c r="R32" s="76"/>
      <c r="S32" s="77"/>
      <c r="T32" s="78"/>
      <c r="V32" s="79" t="str">
        <f>IFERROR(LARGE('📅 Daily Vitals Log'!$B$4:$B$115,ROWS($V$6:V32)),"")</f>
        <v/>
      </c>
    </row>
    <row r="33" spans="2:22" ht="26.1" customHeight="1" x14ac:dyDescent="0.25">
      <c r="B33" s="72"/>
      <c r="C33" s="73"/>
      <c r="D33" s="73"/>
      <c r="E33" s="73"/>
      <c r="F33" s="73"/>
      <c r="G33" s="73"/>
      <c r="H33" s="74"/>
      <c r="I33" s="75"/>
      <c r="J33" s="75"/>
      <c r="K33" s="75"/>
      <c r="L33" s="75"/>
      <c r="M33" s="75"/>
      <c r="N33" s="75"/>
      <c r="O33" s="75"/>
      <c r="P33" s="75"/>
      <c r="Q33" s="76"/>
      <c r="R33" s="76"/>
      <c r="S33" s="77"/>
      <c r="T33" s="78"/>
      <c r="V33" s="79" t="str">
        <f>IFERROR(LARGE('📅 Daily Vitals Log'!$B$4:$B$115,ROWS($V$6:V33)),"")</f>
        <v/>
      </c>
    </row>
    <row r="34" spans="2:22" ht="26.1" customHeight="1" x14ac:dyDescent="0.25">
      <c r="B34" s="72"/>
      <c r="C34" s="73"/>
      <c r="D34" s="73"/>
      <c r="E34" s="73"/>
      <c r="F34" s="73"/>
      <c r="G34" s="73"/>
      <c r="H34" s="74"/>
      <c r="I34" s="75"/>
      <c r="J34" s="75"/>
      <c r="K34" s="75"/>
      <c r="L34" s="75"/>
      <c r="M34" s="75"/>
      <c r="N34" s="75"/>
      <c r="O34" s="75"/>
      <c r="P34" s="75"/>
      <c r="Q34" s="76"/>
      <c r="R34" s="76"/>
      <c r="S34" s="77"/>
      <c r="T34" s="78"/>
      <c r="V34" s="79" t="str">
        <f>IFERROR(LARGE('📅 Daily Vitals Log'!$B$4:$B$115,ROWS($V$6:V34)),"")</f>
        <v/>
      </c>
    </row>
    <row r="35" spans="2:22" ht="26.1" customHeight="1" x14ac:dyDescent="0.25">
      <c r="B35" s="72"/>
      <c r="C35" s="73"/>
      <c r="D35" s="73"/>
      <c r="E35" s="73"/>
      <c r="F35" s="73"/>
      <c r="G35" s="73"/>
      <c r="H35" s="74"/>
      <c r="I35" s="75"/>
      <c r="J35" s="75"/>
      <c r="K35" s="75"/>
      <c r="L35" s="75"/>
      <c r="M35" s="75"/>
      <c r="N35" s="75"/>
      <c r="O35" s="75"/>
      <c r="P35" s="75"/>
      <c r="Q35" s="76"/>
      <c r="R35" s="76"/>
      <c r="S35" s="77"/>
      <c r="T35" s="78"/>
      <c r="V35" s="79" t="str">
        <f>IFERROR(LARGE('📅 Daily Vitals Log'!$B$4:$B$115,ROWS($V$6:V35)),"")</f>
        <v/>
      </c>
    </row>
    <row r="36" spans="2:22" ht="26.1" customHeight="1" x14ac:dyDescent="0.25">
      <c r="B36" s="72"/>
      <c r="C36" s="73"/>
      <c r="D36" s="73"/>
      <c r="E36" s="73"/>
      <c r="F36" s="73"/>
      <c r="G36" s="73"/>
      <c r="H36" s="74"/>
      <c r="I36" s="75"/>
      <c r="J36" s="75"/>
      <c r="K36" s="75"/>
      <c r="L36" s="75"/>
      <c r="M36" s="75"/>
      <c r="N36" s="75"/>
      <c r="O36" s="75"/>
      <c r="P36" s="75"/>
      <c r="Q36" s="76"/>
      <c r="R36" s="76"/>
      <c r="S36" s="77"/>
      <c r="T36" s="78"/>
      <c r="V36" s="79" t="str">
        <f>IFERROR(LARGE('📅 Daily Vitals Log'!$B$4:$B$115,ROWS($V$6:V36)),"")</f>
        <v/>
      </c>
    </row>
    <row r="37" spans="2:22" ht="26.1" customHeight="1" x14ac:dyDescent="0.25">
      <c r="B37" s="72"/>
      <c r="C37" s="73"/>
      <c r="D37" s="73"/>
      <c r="E37" s="73"/>
      <c r="F37" s="73"/>
      <c r="G37" s="73"/>
      <c r="H37" s="74"/>
      <c r="I37" s="75"/>
      <c r="J37" s="75"/>
      <c r="K37" s="75"/>
      <c r="L37" s="75"/>
      <c r="M37" s="75"/>
      <c r="N37" s="75"/>
      <c r="O37" s="75"/>
      <c r="P37" s="75"/>
      <c r="Q37" s="76"/>
      <c r="R37" s="76"/>
      <c r="S37" s="77"/>
      <c r="T37" s="78"/>
      <c r="V37" s="79" t="str">
        <f>IFERROR(LARGE('📅 Daily Vitals Log'!$B$4:$B$115,ROWS($V$6:V37)),"")</f>
        <v/>
      </c>
    </row>
    <row r="38" spans="2:22" ht="26.1" customHeight="1" x14ac:dyDescent="0.25">
      <c r="B38" s="72"/>
      <c r="C38" s="73"/>
      <c r="D38" s="73"/>
      <c r="E38" s="73"/>
      <c r="F38" s="73"/>
      <c r="G38" s="73"/>
      <c r="H38" s="74"/>
      <c r="I38" s="75"/>
      <c r="J38" s="75"/>
      <c r="K38" s="75"/>
      <c r="L38" s="75"/>
      <c r="M38" s="75"/>
      <c r="N38" s="75"/>
      <c r="O38" s="75"/>
      <c r="P38" s="75"/>
      <c r="Q38" s="76"/>
      <c r="R38" s="76"/>
      <c r="S38" s="77"/>
      <c r="T38" s="78"/>
      <c r="V38" s="79" t="str">
        <f>IFERROR(LARGE('📅 Daily Vitals Log'!$B$4:$B$115,ROWS($V$6:V38)),"")</f>
        <v/>
      </c>
    </row>
    <row r="39" spans="2:22" ht="26.1" customHeight="1" x14ac:dyDescent="0.25">
      <c r="B39" s="72"/>
      <c r="C39" s="73"/>
      <c r="D39" s="73"/>
      <c r="E39" s="73"/>
      <c r="F39" s="73"/>
      <c r="G39" s="73"/>
      <c r="H39" s="74"/>
      <c r="I39" s="75"/>
      <c r="J39" s="75"/>
      <c r="K39" s="75"/>
      <c r="L39" s="75"/>
      <c r="M39" s="75"/>
      <c r="N39" s="75"/>
      <c r="O39" s="75"/>
      <c r="P39" s="75"/>
      <c r="Q39" s="76"/>
      <c r="R39" s="76"/>
      <c r="S39" s="77"/>
      <c r="T39" s="78"/>
      <c r="V39" s="79" t="str">
        <f>IFERROR(LARGE('📅 Daily Vitals Log'!$B$4:$B$115,ROWS($V$6:V39)),"")</f>
        <v/>
      </c>
    </row>
    <row r="40" spans="2:22" ht="26.1" customHeight="1" x14ac:dyDescent="0.25">
      <c r="B40" s="72"/>
      <c r="C40" s="73"/>
      <c r="D40" s="73"/>
      <c r="E40" s="73"/>
      <c r="F40" s="73"/>
      <c r="G40" s="73"/>
      <c r="H40" s="74"/>
      <c r="I40" s="75"/>
      <c r="J40" s="75"/>
      <c r="K40" s="75"/>
      <c r="L40" s="75"/>
      <c r="M40" s="75"/>
      <c r="N40" s="75"/>
      <c r="O40" s="75"/>
      <c r="P40" s="75"/>
      <c r="Q40" s="76"/>
      <c r="R40" s="76"/>
      <c r="S40" s="77"/>
      <c r="T40" s="78"/>
      <c r="V40" s="79" t="str">
        <f>IFERROR(LARGE('📅 Daily Vitals Log'!$B$4:$B$115,ROWS($V$6:V40)),"")</f>
        <v/>
      </c>
    </row>
    <row r="41" spans="2:22" ht="26.1" customHeight="1" x14ac:dyDescent="0.25">
      <c r="B41" s="72"/>
      <c r="C41" s="73"/>
      <c r="D41" s="73"/>
      <c r="E41" s="73"/>
      <c r="F41" s="73"/>
      <c r="G41" s="73"/>
      <c r="H41" s="74"/>
      <c r="I41" s="75"/>
      <c r="J41" s="75"/>
      <c r="K41" s="75"/>
      <c r="L41" s="75"/>
      <c r="M41" s="75"/>
      <c r="N41" s="75"/>
      <c r="O41" s="75"/>
      <c r="P41" s="75"/>
      <c r="Q41" s="76"/>
      <c r="R41" s="76"/>
      <c r="S41" s="77"/>
      <c r="T41" s="78"/>
      <c r="V41" s="79" t="str">
        <f>IFERROR(LARGE('📅 Daily Vitals Log'!$B$4:$B$115,ROWS($V$6:V41)),"")</f>
        <v/>
      </c>
    </row>
    <row r="42" spans="2:22" ht="26.1" customHeight="1" x14ac:dyDescent="0.25">
      <c r="B42" s="72"/>
      <c r="C42" s="73"/>
      <c r="D42" s="73"/>
      <c r="E42" s="73"/>
      <c r="F42" s="73"/>
      <c r="G42" s="73"/>
      <c r="H42" s="74"/>
      <c r="I42" s="75"/>
      <c r="J42" s="75"/>
      <c r="K42" s="75"/>
      <c r="L42" s="75"/>
      <c r="M42" s="75"/>
      <c r="N42" s="75"/>
      <c r="O42" s="75"/>
      <c r="P42" s="75"/>
      <c r="Q42" s="76"/>
      <c r="R42" s="76"/>
      <c r="S42" s="77"/>
      <c r="T42" s="78"/>
      <c r="V42" s="79" t="str">
        <f>IFERROR(LARGE('📅 Daily Vitals Log'!$B$4:$B$115,ROWS($V$6:V42)),"")</f>
        <v/>
      </c>
    </row>
    <row r="43" spans="2:22" ht="26.1" customHeight="1" x14ac:dyDescent="0.25">
      <c r="B43" s="72"/>
      <c r="C43" s="73"/>
      <c r="D43" s="73"/>
      <c r="E43" s="73"/>
      <c r="F43" s="73"/>
      <c r="G43" s="73"/>
      <c r="H43" s="74"/>
      <c r="I43" s="75"/>
      <c r="J43" s="75"/>
      <c r="K43" s="75"/>
      <c r="L43" s="75"/>
      <c r="M43" s="75"/>
      <c r="N43" s="75"/>
      <c r="O43" s="75"/>
      <c r="P43" s="75"/>
      <c r="Q43" s="76"/>
      <c r="R43" s="76"/>
      <c r="S43" s="77"/>
      <c r="T43" s="78"/>
      <c r="V43" s="79" t="str">
        <f>IFERROR(LARGE('📅 Daily Vitals Log'!$B$4:$B$115,ROWS($V$6:V43)),"")</f>
        <v/>
      </c>
    </row>
    <row r="44" spans="2:22" ht="26.1" customHeight="1" x14ac:dyDescent="0.25">
      <c r="B44" s="72"/>
      <c r="C44" s="73"/>
      <c r="D44" s="73"/>
      <c r="E44" s="73"/>
      <c r="F44" s="73"/>
      <c r="G44" s="73"/>
      <c r="H44" s="74"/>
      <c r="I44" s="75"/>
      <c r="J44" s="75"/>
      <c r="K44" s="75"/>
      <c r="L44" s="75"/>
      <c r="M44" s="75"/>
      <c r="N44" s="75"/>
      <c r="O44" s="75"/>
      <c r="P44" s="75"/>
      <c r="Q44" s="76"/>
      <c r="R44" s="76"/>
      <c r="S44" s="77"/>
      <c r="T44" s="78"/>
      <c r="V44" s="79" t="str">
        <f>IFERROR(LARGE('📅 Daily Vitals Log'!$B$4:$B$115,ROWS($V$6:V44)),"")</f>
        <v/>
      </c>
    </row>
    <row r="45" spans="2:22" ht="26.1" customHeight="1" x14ac:dyDescent="0.25">
      <c r="B45" s="72"/>
      <c r="C45" s="73"/>
      <c r="D45" s="73"/>
      <c r="E45" s="73"/>
      <c r="F45" s="73"/>
      <c r="G45" s="73"/>
      <c r="H45" s="74"/>
      <c r="I45" s="75"/>
      <c r="J45" s="75"/>
      <c r="K45" s="75"/>
      <c r="L45" s="75"/>
      <c r="M45" s="75"/>
      <c r="N45" s="75"/>
      <c r="O45" s="75"/>
      <c r="P45" s="75"/>
      <c r="Q45" s="76"/>
      <c r="R45" s="76"/>
      <c r="S45" s="77"/>
      <c r="T45" s="78"/>
      <c r="V45" s="79" t="str">
        <f>IFERROR(LARGE('📅 Daily Vitals Log'!$B$4:$B$115,ROWS($V$6:V45)),"")</f>
        <v/>
      </c>
    </row>
    <row r="46" spans="2:22" ht="26.1" customHeight="1" x14ac:dyDescent="0.25">
      <c r="B46" s="72"/>
      <c r="C46" s="73"/>
      <c r="D46" s="73"/>
      <c r="E46" s="73"/>
      <c r="F46" s="73"/>
      <c r="G46" s="73"/>
      <c r="H46" s="74"/>
      <c r="I46" s="75"/>
      <c r="J46" s="75"/>
      <c r="K46" s="75"/>
      <c r="L46" s="75"/>
      <c r="M46" s="75"/>
      <c r="N46" s="75"/>
      <c r="O46" s="75"/>
      <c r="P46" s="75"/>
      <c r="Q46" s="76"/>
      <c r="R46" s="76"/>
      <c r="S46" s="77"/>
      <c r="T46" s="78"/>
      <c r="V46" s="79" t="str">
        <f>IFERROR(LARGE('📅 Daily Vitals Log'!$B$4:$B$115,ROWS($V$6:V46)),"")</f>
        <v/>
      </c>
    </row>
    <row r="47" spans="2:22" ht="26.1" customHeight="1" x14ac:dyDescent="0.25">
      <c r="B47" s="72"/>
      <c r="C47" s="73"/>
      <c r="D47" s="73"/>
      <c r="E47" s="73"/>
      <c r="F47" s="73"/>
      <c r="G47" s="73"/>
      <c r="H47" s="74"/>
      <c r="I47" s="75"/>
      <c r="J47" s="75"/>
      <c r="K47" s="75"/>
      <c r="L47" s="75"/>
      <c r="M47" s="75"/>
      <c r="N47" s="75"/>
      <c r="O47" s="75"/>
      <c r="P47" s="75"/>
      <c r="Q47" s="76"/>
      <c r="R47" s="76"/>
      <c r="S47" s="77"/>
      <c r="T47" s="78"/>
      <c r="V47" s="79" t="str">
        <f>IFERROR(LARGE('📅 Daily Vitals Log'!$B$4:$B$115,ROWS($V$6:V47)),"")</f>
        <v/>
      </c>
    </row>
    <row r="48" spans="2:22" ht="26.1" customHeight="1" x14ac:dyDescent="0.25">
      <c r="B48" s="72"/>
      <c r="C48" s="73"/>
      <c r="D48" s="73"/>
      <c r="E48" s="73"/>
      <c r="F48" s="73"/>
      <c r="G48" s="73"/>
      <c r="H48" s="74"/>
      <c r="I48" s="75"/>
      <c r="J48" s="75"/>
      <c r="K48" s="75"/>
      <c r="L48" s="75"/>
      <c r="M48" s="75"/>
      <c r="N48" s="75"/>
      <c r="O48" s="75"/>
      <c r="P48" s="75"/>
      <c r="Q48" s="76"/>
      <c r="R48" s="76"/>
      <c r="S48" s="77"/>
      <c r="T48" s="78"/>
      <c r="V48" s="79" t="str">
        <f>IFERROR(LARGE('📅 Daily Vitals Log'!$B$4:$B$115,ROWS($V$6:V48)),"")</f>
        <v/>
      </c>
    </row>
    <row r="49" spans="2:22" ht="26.1" customHeight="1" x14ac:dyDescent="0.25">
      <c r="B49" s="72"/>
      <c r="C49" s="73"/>
      <c r="D49" s="73"/>
      <c r="E49" s="73"/>
      <c r="F49" s="73"/>
      <c r="G49" s="73"/>
      <c r="H49" s="74"/>
      <c r="I49" s="75"/>
      <c r="J49" s="75"/>
      <c r="K49" s="75"/>
      <c r="L49" s="75"/>
      <c r="M49" s="75"/>
      <c r="N49" s="75"/>
      <c r="O49" s="75"/>
      <c r="P49" s="75"/>
      <c r="Q49" s="76"/>
      <c r="R49" s="76"/>
      <c r="S49" s="77"/>
      <c r="T49" s="78"/>
      <c r="V49" s="79" t="str">
        <f>IFERROR(LARGE('📅 Daily Vitals Log'!$B$4:$B$115,ROWS($V$6:V49)),"")</f>
        <v/>
      </c>
    </row>
    <row r="50" spans="2:22" ht="26.1" customHeight="1" x14ac:dyDescent="0.25">
      <c r="B50" s="72"/>
      <c r="C50" s="73"/>
      <c r="D50" s="73"/>
      <c r="E50" s="73"/>
      <c r="F50" s="73"/>
      <c r="G50" s="73"/>
      <c r="H50" s="74"/>
      <c r="I50" s="75"/>
      <c r="J50" s="75"/>
      <c r="K50" s="75"/>
      <c r="L50" s="75"/>
      <c r="M50" s="75"/>
      <c r="N50" s="75"/>
      <c r="O50" s="75"/>
      <c r="P50" s="75"/>
      <c r="Q50" s="76"/>
      <c r="R50" s="76"/>
      <c r="S50" s="77"/>
      <c r="T50" s="78"/>
      <c r="V50" s="79" t="str">
        <f>IFERROR(LARGE('📅 Daily Vitals Log'!$B$4:$B$115,ROWS($V$6:V50)),"")</f>
        <v/>
      </c>
    </row>
    <row r="51" spans="2:22" ht="26.1" customHeight="1" x14ac:dyDescent="0.25">
      <c r="B51" s="72"/>
      <c r="C51" s="73"/>
      <c r="D51" s="73"/>
      <c r="E51" s="73"/>
      <c r="F51" s="73"/>
      <c r="G51" s="73"/>
      <c r="H51" s="74"/>
      <c r="I51" s="75"/>
      <c r="J51" s="75"/>
      <c r="K51" s="75"/>
      <c r="L51" s="75"/>
      <c r="M51" s="75"/>
      <c r="N51" s="75"/>
      <c r="O51" s="75"/>
      <c r="P51" s="75"/>
      <c r="Q51" s="76"/>
      <c r="R51" s="76"/>
      <c r="S51" s="77"/>
      <c r="T51" s="78"/>
      <c r="V51" s="79" t="str">
        <f>IFERROR(LARGE('📅 Daily Vitals Log'!$B$4:$B$115,ROWS($V$6:V51)),"")</f>
        <v/>
      </c>
    </row>
    <row r="52" spans="2:22" ht="26.1" customHeight="1" x14ac:dyDescent="0.25">
      <c r="B52" s="72"/>
      <c r="C52" s="73"/>
      <c r="D52" s="73"/>
      <c r="E52" s="73"/>
      <c r="F52" s="73"/>
      <c r="G52" s="73"/>
      <c r="H52" s="74"/>
      <c r="I52" s="75"/>
      <c r="J52" s="75"/>
      <c r="K52" s="75"/>
      <c r="L52" s="75"/>
      <c r="M52" s="75"/>
      <c r="N52" s="75"/>
      <c r="O52" s="75"/>
      <c r="P52" s="75"/>
      <c r="Q52" s="76"/>
      <c r="R52" s="76"/>
      <c r="S52" s="77"/>
      <c r="T52" s="78"/>
      <c r="V52" s="79" t="str">
        <f>IFERROR(LARGE('📅 Daily Vitals Log'!$B$4:$B$115,ROWS($V$6:V52)),"")</f>
        <v/>
      </c>
    </row>
    <row r="53" spans="2:22" ht="26.1" customHeight="1" x14ac:dyDescent="0.25">
      <c r="B53" s="72"/>
      <c r="C53" s="73"/>
      <c r="D53" s="73"/>
      <c r="E53" s="73"/>
      <c r="F53" s="73"/>
      <c r="G53" s="73"/>
      <c r="H53" s="74"/>
      <c r="I53" s="75"/>
      <c r="J53" s="75"/>
      <c r="K53" s="75"/>
      <c r="L53" s="75"/>
      <c r="M53" s="75"/>
      <c r="N53" s="75"/>
      <c r="O53" s="75"/>
      <c r="P53" s="75"/>
      <c r="Q53" s="76"/>
      <c r="R53" s="76"/>
      <c r="S53" s="77"/>
      <c r="T53" s="78"/>
      <c r="V53" s="79" t="str">
        <f>IFERROR(LARGE('📅 Daily Vitals Log'!$B$4:$B$115,ROWS($V$6:V53)),"")</f>
        <v/>
      </c>
    </row>
    <row r="54" spans="2:22" ht="26.1" customHeight="1" x14ac:dyDescent="0.25">
      <c r="B54" s="72"/>
      <c r="C54" s="73"/>
      <c r="D54" s="73"/>
      <c r="E54" s="73"/>
      <c r="F54" s="73"/>
      <c r="G54" s="73"/>
      <c r="H54" s="74"/>
      <c r="I54" s="75"/>
      <c r="J54" s="75"/>
      <c r="K54" s="75"/>
      <c r="L54" s="75"/>
      <c r="M54" s="75"/>
      <c r="N54" s="75"/>
      <c r="O54" s="75"/>
      <c r="P54" s="75"/>
      <c r="Q54" s="76"/>
      <c r="R54" s="76"/>
      <c r="S54" s="77"/>
      <c r="T54" s="78"/>
      <c r="V54" s="79" t="str">
        <f>IFERROR(LARGE('📅 Daily Vitals Log'!$B$4:$B$115,ROWS($V$6:V54)),"")</f>
        <v/>
      </c>
    </row>
    <row r="55" spans="2:22" ht="26.1" customHeight="1" x14ac:dyDescent="0.25">
      <c r="B55" s="72"/>
      <c r="C55" s="73"/>
      <c r="D55" s="73"/>
      <c r="E55" s="73"/>
      <c r="F55" s="73"/>
      <c r="G55" s="73"/>
      <c r="H55" s="74"/>
      <c r="I55" s="75"/>
      <c r="J55" s="75"/>
      <c r="K55" s="75"/>
      <c r="L55" s="75"/>
      <c r="M55" s="75"/>
      <c r="N55" s="75"/>
      <c r="O55" s="75"/>
      <c r="P55" s="75"/>
      <c r="Q55" s="76"/>
      <c r="R55" s="76"/>
      <c r="S55" s="77"/>
      <c r="T55" s="78"/>
      <c r="V55" s="79" t="str">
        <f>IFERROR(LARGE('📅 Daily Vitals Log'!$B$4:$B$115,ROWS($V$6:V55)),"")</f>
        <v/>
      </c>
    </row>
    <row r="56" spans="2:22" ht="15" customHeight="1" x14ac:dyDescent="0.25">
      <c r="V56" s="79" t="str">
        <f>IFERROR(LARGE('📅 Daily Vitals Log'!$B$4:$B$115,ROWS($V$6:V56)),"")</f>
        <v/>
      </c>
    </row>
    <row r="57" spans="2:22" ht="15" customHeight="1" x14ac:dyDescent="0.25">
      <c r="V57" s="79" t="str">
        <f>IFERROR(LARGE('📅 Daily Vitals Log'!$B$4:$B$115,ROWS($V$6:V57)),"")</f>
        <v/>
      </c>
    </row>
    <row r="58" spans="2:22" ht="15" customHeight="1" x14ac:dyDescent="0.25">
      <c r="V58" s="79" t="str">
        <f>IFERROR(LARGE('📅 Daily Vitals Log'!$B$4:$B$115,ROWS($V$6:V58)),"")</f>
        <v/>
      </c>
    </row>
    <row r="59" spans="2:22" ht="15" customHeight="1" x14ac:dyDescent="0.25">
      <c r="V59" s="79" t="str">
        <f>IFERROR(LARGE('📅 Daily Vitals Log'!$B$4:$B$115,ROWS($V$6:V59)),"")</f>
        <v/>
      </c>
    </row>
    <row r="60" spans="2:22" ht="15" customHeight="1" x14ac:dyDescent="0.25">
      <c r="V60" s="79" t="str">
        <f>IFERROR(LARGE('📅 Daily Vitals Log'!$B$4:$B$115,ROWS($V$6:V60)),"")</f>
        <v/>
      </c>
    </row>
    <row r="61" spans="2:22" ht="15" customHeight="1" x14ac:dyDescent="0.25">
      <c r="V61" s="79" t="str">
        <f>IFERROR(LARGE('📅 Daily Vitals Log'!$B$4:$B$115,ROWS($V$6:V61)),"")</f>
        <v/>
      </c>
    </row>
    <row r="62" spans="2:22" ht="15" customHeight="1" x14ac:dyDescent="0.25">
      <c r="V62" s="79" t="str">
        <f>IFERROR(LARGE('📅 Daily Vitals Log'!$B$4:$B$115,ROWS($V$6:V62)),"")</f>
        <v/>
      </c>
    </row>
    <row r="63" spans="2:22" ht="15" customHeight="1" x14ac:dyDescent="0.25">
      <c r="V63" s="79" t="str">
        <f>IFERROR(LARGE('📅 Daily Vitals Log'!$B$4:$B$115,ROWS($V$6:V63)),"")</f>
        <v/>
      </c>
    </row>
    <row r="64" spans="2:22" ht="15" customHeight="1" x14ac:dyDescent="0.25">
      <c r="V64" s="79" t="str">
        <f>IFERROR(LARGE('📅 Daily Vitals Log'!$B$4:$B$115,ROWS($V$6:V64)),"")</f>
        <v/>
      </c>
    </row>
    <row r="65" spans="22:22" ht="15" customHeight="1" x14ac:dyDescent="0.25">
      <c r="V65" s="79" t="str">
        <f>IFERROR(LARGE('📅 Daily Vitals Log'!$B$4:$B$115,ROWS($V$6:V65)),"")</f>
        <v/>
      </c>
    </row>
    <row r="66" spans="22:22" ht="15" customHeight="1" x14ac:dyDescent="0.25">
      <c r="V66" s="79" t="str">
        <f>IFERROR(LARGE('📅 Daily Vitals Log'!$B$4:$B$115,ROWS($V$6:V66)),"")</f>
        <v/>
      </c>
    </row>
    <row r="67" spans="22:22" ht="15" customHeight="1" x14ac:dyDescent="0.25">
      <c r="V67" s="79" t="str">
        <f>IFERROR(LARGE('📅 Daily Vitals Log'!$B$4:$B$115,ROWS($V$6:V67)),"")</f>
        <v/>
      </c>
    </row>
    <row r="68" spans="22:22" ht="15" customHeight="1" x14ac:dyDescent="0.25">
      <c r="V68" s="79" t="str">
        <f>IFERROR(LARGE('📅 Daily Vitals Log'!$B$4:$B$115,ROWS($V$6:V68)),"")</f>
        <v/>
      </c>
    </row>
    <row r="69" spans="22:22" ht="15" customHeight="1" x14ac:dyDescent="0.25">
      <c r="V69" s="79" t="str">
        <f>IFERROR(LARGE('📅 Daily Vitals Log'!$B$4:$B$115,ROWS($V$6:V69)),"")</f>
        <v/>
      </c>
    </row>
    <row r="70" spans="22:22" ht="15" customHeight="1" x14ac:dyDescent="0.25">
      <c r="V70" s="79" t="str">
        <f>IFERROR(LARGE('📅 Daily Vitals Log'!$B$4:$B$115,ROWS($V$6:V70)),"")</f>
        <v/>
      </c>
    </row>
    <row r="71" spans="22:22" ht="15" customHeight="1" x14ac:dyDescent="0.25">
      <c r="V71" s="79" t="str">
        <f>IFERROR(LARGE('📅 Daily Vitals Log'!$B$4:$B$115,ROWS($V$6:V71)),"")</f>
        <v/>
      </c>
    </row>
    <row r="72" spans="22:22" ht="15" customHeight="1" x14ac:dyDescent="0.25">
      <c r="V72" s="79" t="str">
        <f>IFERROR(LARGE('📅 Daily Vitals Log'!$B$4:$B$115,ROWS($V$6:V72)),"")</f>
        <v/>
      </c>
    </row>
    <row r="73" spans="22:22" ht="15" customHeight="1" x14ac:dyDescent="0.25">
      <c r="V73" s="79" t="str">
        <f>IFERROR(LARGE('📅 Daily Vitals Log'!$B$4:$B$115,ROWS($V$6:V73)),"")</f>
        <v/>
      </c>
    </row>
    <row r="74" spans="22:22" ht="15" customHeight="1" x14ac:dyDescent="0.25">
      <c r="V74" s="79" t="str">
        <f>IFERROR(LARGE('📅 Daily Vitals Log'!$B$4:$B$115,ROWS($V$6:V74)),"")</f>
        <v/>
      </c>
    </row>
    <row r="75" spans="22:22" ht="15" customHeight="1" x14ac:dyDescent="0.25">
      <c r="V75" s="79" t="str">
        <f>IFERROR(LARGE('📅 Daily Vitals Log'!$B$4:$B$115,ROWS($V$6:V75)),"")</f>
        <v/>
      </c>
    </row>
    <row r="76" spans="22:22" ht="15" customHeight="1" x14ac:dyDescent="0.25">
      <c r="V76" s="79" t="str">
        <f>IFERROR(LARGE('📅 Daily Vitals Log'!$B$4:$B$115,ROWS($V$6:V76)),"")</f>
        <v/>
      </c>
    </row>
    <row r="77" spans="22:22" ht="15" customHeight="1" x14ac:dyDescent="0.25">
      <c r="V77" s="79" t="str">
        <f>IFERROR(LARGE('📅 Daily Vitals Log'!$B$4:$B$115,ROWS($V$6:V77)),"")</f>
        <v/>
      </c>
    </row>
    <row r="78" spans="22:22" ht="15" customHeight="1" x14ac:dyDescent="0.25">
      <c r="V78" s="79" t="str">
        <f>IFERROR(LARGE('📅 Daily Vitals Log'!$B$4:$B$115,ROWS($V$6:V78)),"")</f>
        <v/>
      </c>
    </row>
    <row r="79" spans="22:22" ht="15" customHeight="1" x14ac:dyDescent="0.25">
      <c r="V79" s="79" t="str">
        <f>IFERROR(LARGE('📅 Daily Vitals Log'!$B$4:$B$115,ROWS($V$6:V79)),"")</f>
        <v/>
      </c>
    </row>
    <row r="80" spans="22:22" ht="15" customHeight="1" x14ac:dyDescent="0.25">
      <c r="V80" s="79" t="str">
        <f>IFERROR(LARGE('📅 Daily Vitals Log'!$B$4:$B$115,ROWS($V$6:V80)),"")</f>
        <v/>
      </c>
    </row>
    <row r="81" spans="22:22" ht="15" customHeight="1" x14ac:dyDescent="0.25">
      <c r="V81" s="79" t="str">
        <f>IFERROR(LARGE('📅 Daily Vitals Log'!$B$4:$B$115,ROWS($V$6:V81)),"")</f>
        <v/>
      </c>
    </row>
    <row r="82" spans="22:22" ht="15" customHeight="1" x14ac:dyDescent="0.25">
      <c r="V82" s="79" t="str">
        <f>IFERROR(LARGE('📅 Daily Vitals Log'!$B$4:$B$115,ROWS($V$6:V82)),"")</f>
        <v/>
      </c>
    </row>
    <row r="83" spans="22:22" ht="15" customHeight="1" x14ac:dyDescent="0.25">
      <c r="V83" s="79" t="str">
        <f>IFERROR(LARGE('📅 Daily Vitals Log'!$B$4:$B$115,ROWS($V$6:V83)),"")</f>
        <v/>
      </c>
    </row>
    <row r="84" spans="22:22" ht="15" customHeight="1" x14ac:dyDescent="0.25">
      <c r="V84" s="79" t="str">
        <f>IFERROR(LARGE('📅 Daily Vitals Log'!$B$4:$B$115,ROWS($V$6:V84)),"")</f>
        <v/>
      </c>
    </row>
    <row r="85" spans="22:22" ht="15" customHeight="1" x14ac:dyDescent="0.25">
      <c r="V85" s="79" t="str">
        <f>IFERROR(LARGE('📅 Daily Vitals Log'!$B$4:$B$115,ROWS($V$6:V85)),"")</f>
        <v/>
      </c>
    </row>
    <row r="86" spans="22:22" ht="15" customHeight="1" x14ac:dyDescent="0.25">
      <c r="V86" s="79" t="str">
        <f>IFERROR(LARGE('📅 Daily Vitals Log'!$B$4:$B$115,ROWS($V$6:V86)),"")</f>
        <v/>
      </c>
    </row>
    <row r="87" spans="22:22" ht="15" customHeight="1" x14ac:dyDescent="0.25">
      <c r="V87" s="79" t="str">
        <f>IFERROR(LARGE('📅 Daily Vitals Log'!$B$4:$B$115,ROWS($V$6:V87)),"")</f>
        <v/>
      </c>
    </row>
    <row r="88" spans="22:22" ht="15" customHeight="1" x14ac:dyDescent="0.25">
      <c r="V88" s="79" t="str">
        <f>IFERROR(LARGE('📅 Daily Vitals Log'!$B$4:$B$115,ROWS($V$6:V88)),"")</f>
        <v/>
      </c>
    </row>
    <row r="89" spans="22:22" ht="15" customHeight="1" x14ac:dyDescent="0.25">
      <c r="V89" s="79" t="str">
        <f>IFERROR(LARGE('📅 Daily Vitals Log'!$B$4:$B$115,ROWS($V$6:V89)),"")</f>
        <v/>
      </c>
    </row>
    <row r="90" spans="22:22" ht="15" customHeight="1" x14ac:dyDescent="0.25">
      <c r="V90" s="79" t="str">
        <f>IFERROR(LARGE('📅 Daily Vitals Log'!$B$4:$B$115,ROWS($V$6:V90)),"")</f>
        <v/>
      </c>
    </row>
    <row r="91" spans="22:22" ht="15" customHeight="1" x14ac:dyDescent="0.25">
      <c r="V91" s="79" t="str">
        <f>IFERROR(LARGE('📅 Daily Vitals Log'!$B$4:$B$115,ROWS($V$6:V91)),"")</f>
        <v/>
      </c>
    </row>
    <row r="92" spans="22:22" ht="15" customHeight="1" x14ac:dyDescent="0.25">
      <c r="V92" s="79" t="str">
        <f>IFERROR(LARGE('📅 Daily Vitals Log'!$B$4:$B$115,ROWS($V$6:V92)),"")</f>
        <v/>
      </c>
    </row>
    <row r="93" spans="22:22" ht="15" customHeight="1" x14ac:dyDescent="0.25">
      <c r="V93" s="79" t="str">
        <f>IFERROR(LARGE('📅 Daily Vitals Log'!$B$4:$B$115,ROWS($V$6:V93)),"")</f>
        <v/>
      </c>
    </row>
    <row r="94" spans="22:22" ht="15" customHeight="1" x14ac:dyDescent="0.25">
      <c r="V94" s="79" t="str">
        <f>IFERROR(LARGE('📅 Daily Vitals Log'!$B$4:$B$115,ROWS($V$6:V94)),"")</f>
        <v/>
      </c>
    </row>
    <row r="95" spans="22:22" ht="15" customHeight="1" x14ac:dyDescent="0.25">
      <c r="V95" s="79" t="str">
        <f>IFERROR(LARGE('📅 Daily Vitals Log'!$B$4:$B$115,ROWS($V$6:V95)),"")</f>
        <v/>
      </c>
    </row>
    <row r="96" spans="22:22" ht="15" customHeight="1" x14ac:dyDescent="0.25">
      <c r="V96" s="79" t="str">
        <f>IFERROR(LARGE('📅 Daily Vitals Log'!$B$4:$B$115,ROWS($V$6:V96)),"")</f>
        <v/>
      </c>
    </row>
    <row r="97" spans="22:22" ht="15" customHeight="1" x14ac:dyDescent="0.25">
      <c r="V97" s="79" t="str">
        <f>IFERROR(LARGE('📅 Daily Vitals Log'!$B$4:$B$115,ROWS($V$6:V97)),"")</f>
        <v/>
      </c>
    </row>
    <row r="98" spans="22:22" ht="15" customHeight="1" x14ac:dyDescent="0.25">
      <c r="V98" s="79" t="str">
        <f>IFERROR(LARGE('📅 Daily Vitals Log'!$B$4:$B$115,ROWS($V$6:V98)),"")</f>
        <v/>
      </c>
    </row>
    <row r="99" spans="22:22" ht="15" customHeight="1" x14ac:dyDescent="0.25">
      <c r="V99" s="79" t="str">
        <f>IFERROR(LARGE('📅 Daily Vitals Log'!$B$4:$B$115,ROWS($V$6:V99)),"")</f>
        <v/>
      </c>
    </row>
    <row r="100" spans="22:22" ht="15" customHeight="1" x14ac:dyDescent="0.25">
      <c r="V100" s="79" t="str">
        <f>IFERROR(LARGE('📅 Daily Vitals Log'!$B$4:$B$115,ROWS($V$6:V100)),"")</f>
        <v/>
      </c>
    </row>
    <row r="101" spans="22:22" ht="15" customHeight="1" x14ac:dyDescent="0.25">
      <c r="V101" s="79" t="str">
        <f>IFERROR(LARGE('📅 Daily Vitals Log'!$B$4:$B$115,ROWS($V$6:V101)),"")</f>
        <v/>
      </c>
    </row>
    <row r="102" spans="22:22" ht="15" customHeight="1" x14ac:dyDescent="0.25">
      <c r="V102" s="79" t="str">
        <f>IFERROR(LARGE('📅 Daily Vitals Log'!$B$4:$B$115,ROWS($V$6:V102)),"")</f>
        <v/>
      </c>
    </row>
    <row r="103" spans="22:22" ht="15" customHeight="1" x14ac:dyDescent="0.25">
      <c r="V103" s="79" t="str">
        <f>IFERROR(LARGE('📅 Daily Vitals Log'!$B$4:$B$115,ROWS($V$6:V103)),"")</f>
        <v/>
      </c>
    </row>
    <row r="104" spans="22:22" ht="15" customHeight="1" x14ac:dyDescent="0.25">
      <c r="V104" s="79" t="str">
        <f>IFERROR(LARGE('📅 Daily Vitals Log'!$B$4:$B$115,ROWS($V$6:V104)),"")</f>
        <v/>
      </c>
    </row>
    <row r="105" spans="22:22" ht="15" customHeight="1" x14ac:dyDescent="0.25">
      <c r="V105" s="79" t="str">
        <f>IFERROR(LARGE('📅 Daily Vitals Log'!$B$4:$B$115,ROWS($V$6:V105)),"")</f>
        <v/>
      </c>
    </row>
    <row r="106" spans="22:22" ht="15" customHeight="1" x14ac:dyDescent="0.25">
      <c r="V106" s="79" t="str">
        <f>IFERROR(LARGE('📅 Daily Vitals Log'!$B$4:$B$115,ROWS($V$6:V106)),"")</f>
        <v/>
      </c>
    </row>
    <row r="107" spans="22:22" ht="15" customHeight="1" x14ac:dyDescent="0.25">
      <c r="V107" s="79" t="str">
        <f>IFERROR(LARGE('📅 Daily Vitals Log'!$B$4:$B$115,ROWS($V$6:V107)),"")</f>
        <v/>
      </c>
    </row>
    <row r="108" spans="22:22" ht="15" customHeight="1" x14ac:dyDescent="0.25">
      <c r="V108" s="79" t="str">
        <f>IFERROR(LARGE('📅 Daily Vitals Log'!$B$4:$B$115,ROWS($V$6:V108)),"")</f>
        <v/>
      </c>
    </row>
    <row r="109" spans="22:22" ht="15" customHeight="1" x14ac:dyDescent="0.25">
      <c r="V109" s="79" t="str">
        <f>IFERROR(LARGE('📅 Daily Vitals Log'!$B$4:$B$115,ROWS($V$6:V109)),"")</f>
        <v/>
      </c>
    </row>
    <row r="110" spans="22:22" ht="15" customHeight="1" x14ac:dyDescent="0.25">
      <c r="V110" s="79" t="str">
        <f>IFERROR(LARGE('📅 Daily Vitals Log'!$B$4:$B$115,ROWS($V$6:V110)),"")</f>
        <v/>
      </c>
    </row>
    <row r="111" spans="22:22" ht="15" customHeight="1" x14ac:dyDescent="0.25">
      <c r="V111" s="79" t="str">
        <f>IFERROR(LARGE('📅 Daily Vitals Log'!$B$4:$B$115,ROWS($V$6:V111)),"")</f>
        <v/>
      </c>
    </row>
    <row r="112" spans="22:22" ht="15" customHeight="1" x14ac:dyDescent="0.25">
      <c r="V112" s="79" t="str">
        <f>IFERROR(LARGE('📅 Daily Vitals Log'!$B$4:$B$115,ROWS($V$6:V112)),"")</f>
        <v/>
      </c>
    </row>
    <row r="113" spans="22:22" ht="15" customHeight="1" x14ac:dyDescent="0.25">
      <c r="V113" s="79" t="str">
        <f>IFERROR(LARGE('📅 Daily Vitals Log'!$B$4:$B$115,ROWS($V$6:V113)),"")</f>
        <v/>
      </c>
    </row>
    <row r="114" spans="22:22" ht="15" customHeight="1" x14ac:dyDescent="0.25">
      <c r="V114" s="79" t="str">
        <f>IFERROR(LARGE('📅 Daily Vitals Log'!$B$4:$B$115,ROWS($V$6:V114)),"")</f>
        <v/>
      </c>
    </row>
    <row r="115" spans="22:22" ht="15" customHeight="1" x14ac:dyDescent="0.25">
      <c r="V115" s="79" t="str">
        <f>IFERROR(LARGE('📅 Daily Vitals Log'!$B$4:$B$115,ROWS($V$6:V115)),"")</f>
        <v/>
      </c>
    </row>
    <row r="116" spans="22:22" ht="15" customHeight="1" x14ac:dyDescent="0.25">
      <c r="V116" s="79" t="str">
        <f>IFERROR(LARGE('📅 Daily Vitals Log'!$B$4:$B$115,ROWS($V$6:V116)),"")</f>
        <v/>
      </c>
    </row>
    <row r="117" spans="22:22" ht="15" customHeight="1" x14ac:dyDescent="0.25">
      <c r="V117" s="79" t="str">
        <f>IFERROR(LARGE('📅 Daily Vitals Log'!$B$4:$B$115,ROWS($V$6:V117)),"")</f>
        <v/>
      </c>
    </row>
  </sheetData>
  <mergeCells count="7">
    <mergeCell ref="B1:T1"/>
    <mergeCell ref="B2:G2"/>
    <mergeCell ref="H2:N2"/>
    <mergeCell ref="Q2:T2"/>
    <mergeCell ref="C5:G5"/>
    <mergeCell ref="I5:P5"/>
    <mergeCell ref="Q5:T5"/>
  </mergeCells>
  <conditionalFormatting sqref="C6:P55">
    <cfRule type="expression" dxfId="3" priority="4">
      <formula>_xlfn.ISFORMULA(C6)</formula>
    </cfRule>
  </conditionalFormatting>
  <conditionalFormatting sqref="I4:P4">
    <cfRule type="expression" dxfId="2" priority="5">
      <formula>AND(ISNUMBER(X4),ISNUMBER($W4),X4&lt;$W4)</formula>
    </cfRule>
  </conditionalFormatting>
  <conditionalFormatting sqref="P2:T2">
    <cfRule type="expression" dxfId="1" priority="1">
      <formula>$P$2=""</formula>
    </cfRule>
  </conditionalFormatting>
  <conditionalFormatting sqref="Q2:T2">
    <cfRule type="expression" dxfId="0" priority="3">
      <formula>$P$2&lt;&gt;""</formula>
    </cfRule>
  </conditionalFormatting>
  <dataValidations count="3">
    <dataValidation type="list" allowBlank="1" showInputMessage="1" promptTitle="Consultation date" prompt="Pick a date from the list (newest first) OR simply type it, e.g. 05-Oct-2026 or 05-10-2026. If the list misbehaves, press Esc and type the date." sqref="B5:B55" xr:uid="{00000000-0002-0000-0800-000000000000}">
      <formula1>VisitDateList</formula1>
    </dataValidation>
    <dataValidation type="date" errorStyle="warning" operator="greaterThan" allowBlank="1" showInputMessage="1" showErrorMessage="1" errorTitle="Check the date" error="This does not look like a valid date. Type it as dd-mmm-yyyy, e.g. 04-Dec-2026." promptTitle="Next consultation date" prompt="Type the date as dd-mmm-yyyy, e.g. 04-Dec-2026." sqref="T6:T55" xr:uid="{00000000-0002-0000-0800-000002000000}">
      <formula1>36526</formula1>
    </dataValidation>
    <dataValidation type="decimal" allowBlank="1" showInputMessage="1" showErrorMessage="1" errorTitle="Height (cm)" error="Enter the height in centimetres, between 100 and 230." promptTitle="HEIGHT (cm) — ONE-TIME ENTRY" prompt="Enter once at the very start. Do NOT change it later — all BMI values depend on it." sqref="P2" xr:uid="{00000000-0002-0000-0800-000003000000}">
      <formula1>100</formula1>
      <formula2>230</formula2>
    </dataValidation>
  </dataValidations>
  <pageMargins left="0.4" right="0.4" top="0.5" bottom="0.5" header="0.3" footer="0.3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1CDD-1635-4B08-B629-CEA981174B62}">
  <sheetPr>
    <tabColor rgb="FF767171"/>
    <pageSetUpPr fitToPage="1"/>
  </sheetPr>
  <dimension ref="B1:F39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8" customWidth="1"/>
    <col min="3" max="3" width="10" customWidth="1"/>
    <col min="4" max="4" width="20" customWidth="1"/>
    <col min="5" max="5" width="28" customWidth="1"/>
    <col min="6" max="6" width="45" customWidth="1"/>
  </cols>
  <sheetData>
    <row r="1" spans="2:6" ht="36" customHeight="1" x14ac:dyDescent="0.25">
      <c r="B1" s="139" t="s">
        <v>392</v>
      </c>
      <c r="C1" s="121"/>
      <c r="D1" s="121"/>
      <c r="E1" s="121"/>
      <c r="F1" s="121"/>
    </row>
    <row r="2" spans="2:6" ht="15.75" customHeight="1" x14ac:dyDescent="0.25">
      <c r="B2" s="136" t="s">
        <v>393</v>
      </c>
      <c r="C2" s="121"/>
      <c r="D2" s="121"/>
      <c r="E2" s="121"/>
      <c r="F2" s="121"/>
    </row>
    <row r="3" spans="2:6" ht="30" customHeight="1" x14ac:dyDescent="0.25">
      <c r="B3" s="2" t="s">
        <v>256</v>
      </c>
      <c r="C3" s="2" t="s">
        <v>111</v>
      </c>
      <c r="D3" s="2" t="s">
        <v>394</v>
      </c>
      <c r="E3" s="2" t="s">
        <v>395</v>
      </c>
      <c r="F3" s="2" t="s">
        <v>396</v>
      </c>
    </row>
    <row r="4" spans="2:6" ht="18" customHeight="1" x14ac:dyDescent="0.25">
      <c r="B4" s="134" t="s">
        <v>136</v>
      </c>
      <c r="C4" s="124"/>
      <c r="D4" s="124"/>
      <c r="E4" s="124"/>
      <c r="F4" s="124"/>
    </row>
    <row r="5" spans="2:6" ht="18" customHeight="1" x14ac:dyDescent="0.25">
      <c r="B5" s="7" t="s">
        <v>137</v>
      </c>
      <c r="C5" s="8" t="s">
        <v>138</v>
      </c>
      <c r="D5" s="8" t="s">
        <v>139</v>
      </c>
      <c r="E5" s="8" t="s">
        <v>397</v>
      </c>
      <c r="F5" s="8" t="s">
        <v>398</v>
      </c>
    </row>
    <row r="6" spans="2:6" ht="18" customHeight="1" x14ac:dyDescent="0.25">
      <c r="B6" s="7" t="s">
        <v>142</v>
      </c>
      <c r="C6" s="8" t="s">
        <v>143</v>
      </c>
      <c r="D6" s="8" t="s">
        <v>399</v>
      </c>
      <c r="E6" s="8" t="s">
        <v>400</v>
      </c>
      <c r="F6" s="8" t="s">
        <v>401</v>
      </c>
    </row>
    <row r="7" spans="2:6" ht="18" customHeight="1" x14ac:dyDescent="0.25">
      <c r="B7" s="7" t="s">
        <v>222</v>
      </c>
      <c r="C7" s="8" t="s">
        <v>223</v>
      </c>
      <c r="D7" s="8" t="s">
        <v>224</v>
      </c>
      <c r="E7" s="8" t="s">
        <v>402</v>
      </c>
      <c r="F7" s="8" t="s">
        <v>403</v>
      </c>
    </row>
    <row r="8" spans="2:6" ht="18" customHeight="1" x14ac:dyDescent="0.25">
      <c r="B8" s="7" t="s">
        <v>226</v>
      </c>
      <c r="C8" s="8" t="s">
        <v>227</v>
      </c>
      <c r="D8" s="8" t="s">
        <v>224</v>
      </c>
      <c r="E8" s="8" t="s">
        <v>225</v>
      </c>
      <c r="F8" s="8" t="s">
        <v>404</v>
      </c>
    </row>
    <row r="9" spans="2:6" ht="18" customHeight="1" x14ac:dyDescent="0.25">
      <c r="B9" s="134" t="s">
        <v>405</v>
      </c>
      <c r="C9" s="124"/>
      <c r="D9" s="124"/>
      <c r="E9" s="124"/>
      <c r="F9" s="124"/>
    </row>
    <row r="10" spans="2:6" ht="18" customHeight="1" x14ac:dyDescent="0.25">
      <c r="B10" s="7" t="s">
        <v>146</v>
      </c>
      <c r="C10" s="8" t="s">
        <v>147</v>
      </c>
      <c r="D10" s="8" t="s">
        <v>148</v>
      </c>
      <c r="E10" s="8" t="s">
        <v>406</v>
      </c>
      <c r="F10" s="8" t="s">
        <v>407</v>
      </c>
    </row>
    <row r="11" spans="2:6" ht="18" customHeight="1" x14ac:dyDescent="0.25">
      <c r="B11" s="7" t="s">
        <v>204</v>
      </c>
      <c r="C11" s="8" t="s">
        <v>205</v>
      </c>
      <c r="D11" s="8" t="s">
        <v>206</v>
      </c>
      <c r="E11" s="8" t="s">
        <v>408</v>
      </c>
      <c r="F11" s="8" t="s">
        <v>409</v>
      </c>
    </row>
    <row r="12" spans="2:6" ht="18" customHeight="1" x14ac:dyDescent="0.25">
      <c r="B12" s="7" t="s">
        <v>209</v>
      </c>
      <c r="C12" s="8" t="s">
        <v>205</v>
      </c>
      <c r="D12" s="8" t="s">
        <v>206</v>
      </c>
      <c r="E12" s="8" t="s">
        <v>210</v>
      </c>
      <c r="F12" s="8" t="s">
        <v>410</v>
      </c>
    </row>
    <row r="13" spans="2:6" ht="18" customHeight="1" x14ac:dyDescent="0.25">
      <c r="B13" s="134" t="s">
        <v>150</v>
      </c>
      <c r="C13" s="124"/>
      <c r="D13" s="124"/>
      <c r="E13" s="124"/>
      <c r="F13" s="124"/>
    </row>
    <row r="14" spans="2:6" ht="18" customHeight="1" x14ac:dyDescent="0.25">
      <c r="B14" s="7" t="s">
        <v>159</v>
      </c>
      <c r="C14" s="8" t="s">
        <v>160</v>
      </c>
      <c r="D14" s="8" t="s">
        <v>161</v>
      </c>
      <c r="E14" s="8" t="s">
        <v>161</v>
      </c>
      <c r="F14" s="8" t="s">
        <v>411</v>
      </c>
    </row>
    <row r="15" spans="2:6" ht="18" customHeight="1" x14ac:dyDescent="0.25">
      <c r="B15" s="7" t="s">
        <v>162</v>
      </c>
      <c r="C15" s="8" t="s">
        <v>160</v>
      </c>
      <c r="D15" s="8" t="s">
        <v>163</v>
      </c>
      <c r="E15" s="8" t="s">
        <v>163</v>
      </c>
      <c r="F15" s="8" t="s">
        <v>148</v>
      </c>
    </row>
    <row r="16" spans="2:6" ht="18" customHeight="1" x14ac:dyDescent="0.25">
      <c r="B16" s="7" t="s">
        <v>151</v>
      </c>
      <c r="C16" s="8" t="s">
        <v>138</v>
      </c>
      <c r="D16" s="8" t="s">
        <v>152</v>
      </c>
      <c r="E16" s="8" t="s">
        <v>153</v>
      </c>
      <c r="F16" s="8" t="s">
        <v>412</v>
      </c>
    </row>
    <row r="17" spans="2:6" ht="18" customHeight="1" x14ac:dyDescent="0.25">
      <c r="B17" s="7" t="s">
        <v>154</v>
      </c>
      <c r="C17" s="8" t="s">
        <v>138</v>
      </c>
      <c r="D17" s="8" t="s">
        <v>155</v>
      </c>
      <c r="E17" s="8" t="s">
        <v>155</v>
      </c>
      <c r="F17" s="8" t="s">
        <v>413</v>
      </c>
    </row>
    <row r="18" spans="2:6" ht="18" customHeight="1" x14ac:dyDescent="0.25">
      <c r="B18" s="7" t="s">
        <v>164</v>
      </c>
      <c r="C18" s="8" t="s">
        <v>160</v>
      </c>
      <c r="D18" s="8" t="s">
        <v>165</v>
      </c>
      <c r="E18" s="8" t="s">
        <v>165</v>
      </c>
      <c r="F18" s="8" t="s">
        <v>414</v>
      </c>
    </row>
    <row r="19" spans="2:6" ht="18" customHeight="1" x14ac:dyDescent="0.25">
      <c r="B19" s="7" t="s">
        <v>156</v>
      </c>
      <c r="C19" s="8" t="s">
        <v>138</v>
      </c>
      <c r="D19" s="8" t="s">
        <v>157</v>
      </c>
      <c r="E19" s="8" t="s">
        <v>158</v>
      </c>
      <c r="F19" s="8" t="s">
        <v>415</v>
      </c>
    </row>
    <row r="20" spans="2:6" ht="18" customHeight="1" x14ac:dyDescent="0.25">
      <c r="B20" s="134" t="s">
        <v>166</v>
      </c>
      <c r="C20" s="124"/>
      <c r="D20" s="124"/>
      <c r="E20" s="124"/>
      <c r="F20" s="124"/>
    </row>
    <row r="21" spans="2:6" ht="18" customHeight="1" x14ac:dyDescent="0.25">
      <c r="B21" s="7" t="s">
        <v>167</v>
      </c>
      <c r="C21" s="8" t="s">
        <v>138</v>
      </c>
      <c r="D21" s="8" t="s">
        <v>168</v>
      </c>
      <c r="E21" s="8" t="s">
        <v>416</v>
      </c>
      <c r="F21" s="8" t="s">
        <v>417</v>
      </c>
    </row>
    <row r="22" spans="2:6" ht="18" customHeight="1" x14ac:dyDescent="0.25">
      <c r="B22" s="7" t="s">
        <v>170</v>
      </c>
      <c r="C22" s="8" t="s">
        <v>138</v>
      </c>
      <c r="D22" s="8" t="s">
        <v>418</v>
      </c>
      <c r="E22" s="8" t="s">
        <v>419</v>
      </c>
      <c r="F22" s="8" t="s">
        <v>420</v>
      </c>
    </row>
    <row r="23" spans="2:6" ht="18" customHeight="1" x14ac:dyDescent="0.25">
      <c r="B23" s="7" t="s">
        <v>173</v>
      </c>
      <c r="C23" s="8" t="s">
        <v>174</v>
      </c>
      <c r="D23" s="8" t="s">
        <v>175</v>
      </c>
      <c r="E23" s="8" t="s">
        <v>176</v>
      </c>
      <c r="F23" s="8" t="s">
        <v>421</v>
      </c>
    </row>
    <row r="24" spans="2:6" ht="18" customHeight="1" x14ac:dyDescent="0.25">
      <c r="B24" s="134" t="s">
        <v>422</v>
      </c>
      <c r="C24" s="124"/>
      <c r="D24" s="124"/>
      <c r="E24" s="124"/>
      <c r="F24" s="124"/>
    </row>
    <row r="25" spans="2:6" ht="18" customHeight="1" x14ac:dyDescent="0.25">
      <c r="B25" s="7" t="s">
        <v>423</v>
      </c>
      <c r="C25" s="8" t="s">
        <v>180</v>
      </c>
      <c r="D25" s="8" t="s">
        <v>181</v>
      </c>
      <c r="E25" s="8" t="s">
        <v>182</v>
      </c>
      <c r="F25" s="8" t="s">
        <v>424</v>
      </c>
    </row>
    <row r="26" spans="2:6" ht="18" customHeight="1" x14ac:dyDescent="0.25">
      <c r="B26" s="7" t="s">
        <v>183</v>
      </c>
      <c r="C26" s="8" t="s">
        <v>184</v>
      </c>
      <c r="D26" s="8" t="s">
        <v>425</v>
      </c>
      <c r="E26" s="8" t="s">
        <v>426</v>
      </c>
      <c r="F26" s="8" t="s">
        <v>427</v>
      </c>
    </row>
    <row r="27" spans="2:6" ht="18" customHeight="1" x14ac:dyDescent="0.25">
      <c r="B27" s="7" t="s">
        <v>187</v>
      </c>
      <c r="C27" s="8" t="s">
        <v>184</v>
      </c>
      <c r="D27" s="8" t="s">
        <v>188</v>
      </c>
      <c r="E27" s="8" t="s">
        <v>189</v>
      </c>
      <c r="F27" s="8" t="s">
        <v>428</v>
      </c>
    </row>
    <row r="28" spans="2:6" ht="18" customHeight="1" x14ac:dyDescent="0.25">
      <c r="B28" s="7" t="s">
        <v>191</v>
      </c>
      <c r="C28" s="8" t="s">
        <v>180</v>
      </c>
      <c r="D28" s="8" t="s">
        <v>161</v>
      </c>
      <c r="E28" s="8" t="s">
        <v>161</v>
      </c>
      <c r="F28" s="8" t="s">
        <v>429</v>
      </c>
    </row>
    <row r="29" spans="2:6" ht="18" customHeight="1" x14ac:dyDescent="0.25">
      <c r="B29" s="134" t="s">
        <v>430</v>
      </c>
      <c r="C29" s="124"/>
      <c r="D29" s="124"/>
      <c r="E29" s="124"/>
      <c r="F29" s="124"/>
    </row>
    <row r="30" spans="2:6" ht="18" customHeight="1" x14ac:dyDescent="0.25">
      <c r="B30" s="7" t="s">
        <v>431</v>
      </c>
      <c r="C30" s="8" t="s">
        <v>293</v>
      </c>
      <c r="D30" s="8" t="s">
        <v>432</v>
      </c>
      <c r="E30" s="8" t="s">
        <v>433</v>
      </c>
      <c r="F30" s="8" t="s">
        <v>434</v>
      </c>
    </row>
    <row r="31" spans="2:6" ht="18" customHeight="1" x14ac:dyDescent="0.25">
      <c r="B31" s="7" t="s">
        <v>435</v>
      </c>
      <c r="C31" s="8" t="s">
        <v>174</v>
      </c>
      <c r="D31" s="8" t="s">
        <v>436</v>
      </c>
      <c r="E31" s="8" t="s">
        <v>437</v>
      </c>
      <c r="F31" s="8" t="s">
        <v>438</v>
      </c>
    </row>
    <row r="32" spans="2:6" ht="18" customHeight="1" x14ac:dyDescent="0.25">
      <c r="B32" s="7" t="s">
        <v>439</v>
      </c>
      <c r="C32" s="8" t="s">
        <v>440</v>
      </c>
      <c r="D32" s="8" t="s">
        <v>441</v>
      </c>
      <c r="E32" s="8" t="s">
        <v>442</v>
      </c>
      <c r="F32" s="8" t="s">
        <v>443</v>
      </c>
    </row>
    <row r="33" spans="2:6" ht="18" customHeight="1" x14ac:dyDescent="0.25">
      <c r="B33" s="7" t="s">
        <v>444</v>
      </c>
      <c r="C33" s="8" t="s">
        <v>445</v>
      </c>
      <c r="D33" s="8" t="s">
        <v>446</v>
      </c>
      <c r="E33" s="8" t="s">
        <v>447</v>
      </c>
      <c r="F33" s="8" t="s">
        <v>448</v>
      </c>
    </row>
    <row r="34" spans="2:6" ht="18" customHeight="1" x14ac:dyDescent="0.25">
      <c r="B34" s="7" t="s">
        <v>449</v>
      </c>
      <c r="C34" s="8" t="s">
        <v>450</v>
      </c>
      <c r="D34" s="8" t="s">
        <v>451</v>
      </c>
      <c r="E34" s="8" t="s">
        <v>452</v>
      </c>
      <c r="F34" s="8" t="s">
        <v>453</v>
      </c>
    </row>
    <row r="35" spans="2:6" ht="18" customHeight="1" x14ac:dyDescent="0.25">
      <c r="B35" s="134" t="s">
        <v>454</v>
      </c>
      <c r="C35" s="124"/>
      <c r="D35" s="124"/>
      <c r="E35" s="124"/>
      <c r="F35" s="124"/>
    </row>
    <row r="36" spans="2:6" ht="18" customHeight="1" x14ac:dyDescent="0.25">
      <c r="B36" s="7" t="s">
        <v>202</v>
      </c>
      <c r="C36" s="8" t="s">
        <v>147</v>
      </c>
      <c r="D36" s="8" t="s">
        <v>203</v>
      </c>
      <c r="E36" s="8" t="s">
        <v>203</v>
      </c>
      <c r="F36" s="8" t="s">
        <v>455</v>
      </c>
    </row>
    <row r="37" spans="2:6" ht="18" customHeight="1" x14ac:dyDescent="0.25">
      <c r="B37" s="7" t="s">
        <v>456</v>
      </c>
      <c r="C37" s="8" t="s">
        <v>138</v>
      </c>
      <c r="D37" s="8" t="s">
        <v>442</v>
      </c>
      <c r="E37" s="8" t="s">
        <v>442</v>
      </c>
      <c r="F37" s="8" t="s">
        <v>457</v>
      </c>
    </row>
    <row r="38" spans="2:6" ht="18" customHeight="1" x14ac:dyDescent="0.25">
      <c r="B38" s="7" t="s">
        <v>194</v>
      </c>
      <c r="C38" s="8" t="s">
        <v>195</v>
      </c>
      <c r="D38" s="8" t="s">
        <v>196</v>
      </c>
      <c r="E38" s="8" t="s">
        <v>196</v>
      </c>
      <c r="F38" s="8" t="s">
        <v>458</v>
      </c>
    </row>
    <row r="39" spans="2:6" ht="18" customHeight="1" x14ac:dyDescent="0.25">
      <c r="B39" s="7" t="s">
        <v>197</v>
      </c>
      <c r="C39" s="8" t="s">
        <v>195</v>
      </c>
      <c r="D39" s="8" t="s">
        <v>198</v>
      </c>
      <c r="E39" s="8" t="s">
        <v>198</v>
      </c>
      <c r="F39" s="8" t="s">
        <v>458</v>
      </c>
    </row>
  </sheetData>
  <mergeCells count="9">
    <mergeCell ref="B1:F1"/>
    <mergeCell ref="B9:F9"/>
    <mergeCell ref="B13:F13"/>
    <mergeCell ref="B35:F35"/>
    <mergeCell ref="B4:F4"/>
    <mergeCell ref="B29:F29"/>
    <mergeCell ref="B24:F24"/>
    <mergeCell ref="B2:F2"/>
    <mergeCell ref="B20:F20"/>
  </mergeCells>
  <pageMargins left="0.75" right="0.75" top="1" bottom="1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1374-D5B8-42B3-87C5-21C0CC5031F5}">
  <sheetPr>
    <tabColor rgb="FF7F7F7F"/>
    <pageSetUpPr fitToPage="1"/>
  </sheetPr>
  <dimension ref="B1:X205"/>
  <sheetViews>
    <sheetView showGridLines="0" workbookViewId="0">
      <pane ySplit="5" topLeftCell="A6" activePane="bottomLeft" state="frozen"/>
      <selection pane="bottomLeft" activeCell="D6" sqref="D6"/>
    </sheetView>
  </sheetViews>
  <sheetFormatPr defaultRowHeight="15" x14ac:dyDescent="0.25"/>
  <cols>
    <col min="1" max="1" width="3" customWidth="1"/>
    <col min="2" max="2" width="34" customWidth="1"/>
    <col min="3" max="3" width="10" customWidth="1"/>
    <col min="4" max="5" width="12" customWidth="1"/>
    <col min="6" max="6" width="60" customWidth="1"/>
    <col min="7" max="7" width="3" customWidth="1"/>
    <col min="8" max="8" width="40" customWidth="1"/>
    <col min="9" max="9" width="12" customWidth="1"/>
    <col min="10" max="11" width="3" customWidth="1"/>
    <col min="12" max="12" width="22" customWidth="1"/>
    <col min="13" max="14" width="12" customWidth="1"/>
    <col min="15" max="15" width="44" customWidth="1"/>
    <col min="16" max="18" width="16" customWidth="1"/>
    <col min="19" max="19" width="3" customWidth="1"/>
    <col min="20" max="22" width="18" customWidth="1"/>
    <col min="23" max="23" width="3" customWidth="1"/>
    <col min="24" max="24" width="40" customWidth="1"/>
  </cols>
  <sheetData>
    <row r="1" spans="2:24" ht="30" customHeight="1" x14ac:dyDescent="0.25">
      <c r="B1" s="139" t="s">
        <v>459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</row>
    <row r="2" spans="2:24" ht="30" customHeight="1" x14ac:dyDescent="0.25">
      <c r="B2" s="145" t="s">
        <v>460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</row>
    <row r="4" spans="2:24" x14ac:dyDescent="0.25">
      <c r="B4" s="144" t="s">
        <v>461</v>
      </c>
      <c r="C4" s="144"/>
      <c r="D4" s="144"/>
      <c r="E4" s="144"/>
      <c r="F4" s="144"/>
      <c r="H4" s="144" t="s">
        <v>462</v>
      </c>
      <c r="I4" s="144"/>
      <c r="L4" s="144" t="s">
        <v>463</v>
      </c>
      <c r="M4" s="144"/>
      <c r="N4" s="144"/>
      <c r="O4" s="144"/>
      <c r="P4" s="144" t="s">
        <v>464</v>
      </c>
      <c r="Q4" s="144"/>
      <c r="R4" s="144"/>
      <c r="T4" s="144" t="s">
        <v>465</v>
      </c>
      <c r="U4" s="144"/>
      <c r="V4" s="144"/>
    </row>
    <row r="5" spans="2:24" ht="24" x14ac:dyDescent="0.25">
      <c r="B5" s="29" t="s">
        <v>466</v>
      </c>
      <c r="C5" s="29" t="s">
        <v>111</v>
      </c>
      <c r="D5" s="29" t="s">
        <v>467</v>
      </c>
      <c r="E5" s="29" t="s">
        <v>468</v>
      </c>
      <c r="F5" s="29" t="s">
        <v>469</v>
      </c>
      <c r="H5" s="32" t="s">
        <v>470</v>
      </c>
      <c r="I5" s="36">
        <v>70</v>
      </c>
      <c r="L5" s="29" t="s">
        <v>471</v>
      </c>
      <c r="M5" s="29" t="s">
        <v>472</v>
      </c>
      <c r="N5" s="29" t="s">
        <v>473</v>
      </c>
      <c r="O5" s="29" t="s">
        <v>474</v>
      </c>
      <c r="P5" s="29" t="str">
        <f>"Target low ("&amp;$I$5&amp;")"</f>
        <v>Target low (70)</v>
      </c>
      <c r="Q5" s="29" t="str">
        <f>"Target high ("&amp;$I$6&amp;")"</f>
        <v>Target high (126)</v>
      </c>
      <c r="R5" s="29" t="str">
        <f>"Alert above ("&amp;$I$7&amp;")"</f>
        <v>Alert above (180)</v>
      </c>
      <c r="T5" s="29" t="s">
        <v>475</v>
      </c>
      <c r="U5" s="29" t="s">
        <v>476</v>
      </c>
      <c r="V5" s="29" t="s">
        <v>477</v>
      </c>
      <c r="X5" s="145" t="s">
        <v>478</v>
      </c>
    </row>
    <row r="6" spans="2:24" x14ac:dyDescent="0.25">
      <c r="B6" s="32" t="str">
        <f>TRIM('🧪 Lab Results'!$B$6)</f>
        <v>Serum Creatinine</v>
      </c>
      <c r="C6" s="31" t="str">
        <f>IF('🧪 Lab Results'!$C$6="","",'🧪 Lab Results'!$C$6)</f>
        <v>mg/dL</v>
      </c>
      <c r="D6" s="36">
        <v>0.6</v>
      </c>
      <c r="E6" s="36">
        <v>1.2</v>
      </c>
      <c r="F6" s="30" t="s">
        <v>479</v>
      </c>
      <c r="H6" s="32" t="s">
        <v>480</v>
      </c>
      <c r="I6" s="36">
        <v>126</v>
      </c>
      <c r="L6" s="37" t="str">
        <f>IF(OR('📈 Dashboard'!$O$58="▲ HIGH",'📈 Dashboard'!$O$58="▼ LOW"),B6,"")</f>
        <v/>
      </c>
      <c r="M6" s="37">
        <f>SUMPRODUCT(MAX(('🧪 Lab Results'!$G6:$Z6&lt;&gt;"")*COLUMN('🧪 Lab Results'!$G6:$Z6)))</f>
        <v>0</v>
      </c>
      <c r="N6" s="37">
        <f>IF(M6=0,0,SUMPRODUCT(MAX(('🧪 Lab Results'!$G6:$Z6&lt;&gt;"")*(COLUMN('🧪 Lab Results'!$G6:$Z6)&lt;M6)*COLUMN('🧪 Lab Results'!$G6:$Z6))))</f>
        <v>0</v>
      </c>
      <c r="O6" s="37" t="str">
        <f>L6</f>
        <v/>
      </c>
      <c r="P6" s="37">
        <f t="shared" ref="P6:P37" si="0">$I$5</f>
        <v>70</v>
      </c>
      <c r="Q6" s="37">
        <f t="shared" ref="Q6:Q37" si="1">$I$6</f>
        <v>126</v>
      </c>
      <c r="R6" s="37">
        <f t="shared" ref="R6:R37" si="2">$I$7</f>
        <v>180</v>
      </c>
      <c r="T6" s="37">
        <f>IF(TRIM('💊 Medication History'!$I$5)="ACTIVE",1,0)</f>
        <v>0</v>
      </c>
      <c r="U6" s="37">
        <v>1</v>
      </c>
      <c r="V6" s="37">
        <f t="shared" ref="V6:V20" si="3">IFERROR(MATCH(U6,$T$6:$T$205,0),0)</f>
        <v>0</v>
      </c>
      <c r="X6" s="121"/>
    </row>
    <row r="7" spans="2:24" x14ac:dyDescent="0.25">
      <c r="B7" s="32" t="str">
        <f>TRIM('🧪 Lab Results'!$B$7)</f>
        <v>eGFR</v>
      </c>
      <c r="C7" s="31" t="str">
        <f>IF('🧪 Lab Results'!$C$7="","",'🧪 Lab Results'!$C$7)</f>
        <v>mL/min</v>
      </c>
      <c r="D7" s="36">
        <v>45</v>
      </c>
      <c r="E7" s="36"/>
      <c r="F7" s="30" t="s">
        <v>481</v>
      </c>
      <c r="H7" s="32" t="s">
        <v>482</v>
      </c>
      <c r="I7" s="36">
        <v>180</v>
      </c>
      <c r="L7" s="37" t="str">
        <f>IF(OR('📈 Dashboard'!$O$59="▲ HIGH",'📈 Dashboard'!$O$59="▼ LOW"),B7,"")</f>
        <v/>
      </c>
      <c r="M7" s="37">
        <f>SUMPRODUCT(MAX(('🧪 Lab Results'!$G7:$Z7&lt;&gt;"")*COLUMN('🧪 Lab Results'!$G7:$Z7)))</f>
        <v>0</v>
      </c>
      <c r="N7" s="37">
        <f>IF(M7=0,0,SUMPRODUCT(MAX(('🧪 Lab Results'!$G7:$Z7&lt;&gt;"")*(COLUMN('🧪 Lab Results'!$G7:$Z7)&lt;M7)*COLUMN('🧪 Lab Results'!$G7:$Z7))))</f>
        <v>0</v>
      </c>
      <c r="O7" s="37" t="str">
        <f t="shared" ref="O7:O28" si="4">O6&amp;IF(AND(O6&lt;&gt;"",L7&lt;&gt;""),", ","")&amp;L7</f>
        <v/>
      </c>
      <c r="P7" s="37">
        <f t="shared" si="0"/>
        <v>70</v>
      </c>
      <c r="Q7" s="37">
        <f t="shared" si="1"/>
        <v>126</v>
      </c>
      <c r="R7" s="37">
        <f t="shared" si="2"/>
        <v>180</v>
      </c>
      <c r="T7" s="37">
        <f>T6+IF(TRIM('💊 Medication History'!$I$6)="ACTIVE",1,0)</f>
        <v>0</v>
      </c>
      <c r="U7" s="37">
        <v>2</v>
      </c>
      <c r="V7" s="37">
        <f t="shared" si="3"/>
        <v>0</v>
      </c>
      <c r="X7" s="121"/>
    </row>
    <row r="8" spans="2:24" x14ac:dyDescent="0.25">
      <c r="B8" s="32" t="str">
        <f>TRIM('🧪 Lab Results'!$B$8)</f>
        <v>Tacrolimus Trough</v>
      </c>
      <c r="C8" s="31" t="str">
        <f>IF('🧪 Lab Results'!$C$8="","",'🧪 Lab Results'!$C$8)</f>
        <v>ng/mL</v>
      </c>
      <c r="D8" s="36">
        <v>5</v>
      </c>
      <c r="E8" s="36">
        <v>12</v>
      </c>
      <c r="F8" s="30" t="s">
        <v>483</v>
      </c>
      <c r="H8" s="32" t="s">
        <v>484</v>
      </c>
      <c r="I8" s="36">
        <v>5</v>
      </c>
      <c r="L8" s="37" t="str">
        <f>IF(OR('📈 Dashboard'!$O$60="▲ HIGH",'📈 Dashboard'!$O$60="▼ LOW"),B8,"")</f>
        <v/>
      </c>
      <c r="M8" s="37">
        <f>SUMPRODUCT(MAX(('🧪 Lab Results'!$G8:$Z8&lt;&gt;"")*COLUMN('🧪 Lab Results'!$G8:$Z8)))</f>
        <v>0</v>
      </c>
      <c r="N8" s="37">
        <f>IF(M8=0,0,SUMPRODUCT(MAX(('🧪 Lab Results'!$G8:$Z8&lt;&gt;"")*(COLUMN('🧪 Lab Results'!$G8:$Z8)&lt;M8)*COLUMN('🧪 Lab Results'!$G8:$Z8))))</f>
        <v>0</v>
      </c>
      <c r="O8" s="37" t="str">
        <f t="shared" si="4"/>
        <v/>
      </c>
      <c r="P8" s="37">
        <f t="shared" si="0"/>
        <v>70</v>
      </c>
      <c r="Q8" s="37">
        <f t="shared" si="1"/>
        <v>126</v>
      </c>
      <c r="R8" s="37">
        <f t="shared" si="2"/>
        <v>180</v>
      </c>
      <c r="T8" s="37">
        <f>T7+IF(TRIM('💊 Medication History'!$I$7)="ACTIVE",1,0)</f>
        <v>0</v>
      </c>
      <c r="U8" s="37">
        <v>3</v>
      </c>
      <c r="V8" s="37">
        <f t="shared" si="3"/>
        <v>0</v>
      </c>
      <c r="X8" s="121"/>
    </row>
    <row r="9" spans="2:24" x14ac:dyDescent="0.25">
      <c r="B9" s="32" t="str">
        <f>TRIM('🧪 Lab Results'!$B$10)</f>
        <v>Calcium (Total)</v>
      </c>
      <c r="C9" s="31" t="str">
        <f>IF('🧪 Lab Results'!$C$10="","",'🧪 Lab Results'!$C$10)</f>
        <v>mg/dL</v>
      </c>
      <c r="D9" s="36">
        <v>8.5</v>
      </c>
      <c r="E9" s="36">
        <v>10.199999999999999</v>
      </c>
      <c r="F9" s="30" t="s">
        <v>485</v>
      </c>
      <c r="H9" s="32" t="s">
        <v>486</v>
      </c>
      <c r="I9" s="36">
        <v>140</v>
      </c>
      <c r="L9" s="37" t="str">
        <f>IF(OR('📈 Dashboard'!$O$61="▲ HIGH",'📈 Dashboard'!$O$61="▼ LOW"),B9,"")</f>
        <v/>
      </c>
      <c r="M9" s="37">
        <f>SUMPRODUCT(MAX(('🧪 Lab Results'!$G10:$Z10&lt;&gt;"")*COLUMN('🧪 Lab Results'!$G10:$Z10)))</f>
        <v>0</v>
      </c>
      <c r="N9" s="37">
        <f>IF(M9=0,0,SUMPRODUCT(MAX(('🧪 Lab Results'!$G10:$Z10&lt;&gt;"")*(COLUMN('🧪 Lab Results'!$G10:$Z10)&lt;M9)*COLUMN('🧪 Lab Results'!$G10:$Z10))))</f>
        <v>0</v>
      </c>
      <c r="O9" s="37" t="str">
        <f t="shared" si="4"/>
        <v/>
      </c>
      <c r="P9" s="37">
        <f t="shared" si="0"/>
        <v>70</v>
      </c>
      <c r="Q9" s="37">
        <f t="shared" si="1"/>
        <v>126</v>
      </c>
      <c r="R9" s="37">
        <f t="shared" si="2"/>
        <v>180</v>
      </c>
      <c r="T9" s="37">
        <f>T8+IF(TRIM('💊 Medication History'!$I$8)="ACTIVE",1,0)</f>
        <v>0</v>
      </c>
      <c r="U9" s="37">
        <v>4</v>
      </c>
      <c r="V9" s="37">
        <f t="shared" si="3"/>
        <v>0</v>
      </c>
      <c r="X9" s="121"/>
    </row>
    <row r="10" spans="2:24" x14ac:dyDescent="0.25">
      <c r="B10" s="32" t="str">
        <f>TRIM('🧪 Lab Results'!$B$11)</f>
        <v>Phosphorus</v>
      </c>
      <c r="C10" s="31" t="str">
        <f>IF('🧪 Lab Results'!$C$11="","",'🧪 Lab Results'!$C$11)</f>
        <v>mg/dL</v>
      </c>
      <c r="D10" s="36">
        <v>2.5</v>
      </c>
      <c r="E10" s="36">
        <v>4.5</v>
      </c>
      <c r="F10" s="30" t="s">
        <v>487</v>
      </c>
      <c r="H10" s="32" t="s">
        <v>488</v>
      </c>
      <c r="I10" s="36">
        <v>90</v>
      </c>
      <c r="L10" s="37" t="str">
        <f>IF(OR('📈 Dashboard'!$O$62="▲ HIGH",'📈 Dashboard'!$O$62="▼ LOW"),B10,"")</f>
        <v/>
      </c>
      <c r="M10" s="37">
        <f>SUMPRODUCT(MAX(('🧪 Lab Results'!$G11:$Z11&lt;&gt;"")*COLUMN('🧪 Lab Results'!$G11:$Z11)))</f>
        <v>0</v>
      </c>
      <c r="N10" s="37">
        <f>IF(M10=0,0,SUMPRODUCT(MAX(('🧪 Lab Results'!$G11:$Z11&lt;&gt;"")*(COLUMN('🧪 Lab Results'!$G11:$Z11)&lt;M10)*COLUMN('🧪 Lab Results'!$G11:$Z11))))</f>
        <v>0</v>
      </c>
      <c r="O10" s="37" t="str">
        <f t="shared" si="4"/>
        <v/>
      </c>
      <c r="P10" s="37">
        <f t="shared" si="0"/>
        <v>70</v>
      </c>
      <c r="Q10" s="37">
        <f t="shared" si="1"/>
        <v>126</v>
      </c>
      <c r="R10" s="37">
        <f t="shared" si="2"/>
        <v>180</v>
      </c>
      <c r="T10" s="37">
        <f>T9+IF(TRIM('💊 Medication History'!$I$9)="ACTIVE",1,0)</f>
        <v>0</v>
      </c>
      <c r="U10" s="37">
        <v>5</v>
      </c>
      <c r="V10" s="37">
        <f t="shared" si="3"/>
        <v>0</v>
      </c>
      <c r="X10" s="121"/>
    </row>
    <row r="11" spans="2:24" x14ac:dyDescent="0.25">
      <c r="B11" s="32" t="str">
        <f>TRIM('🧪 Lab Results'!$B$12)</f>
        <v>Uric Acid</v>
      </c>
      <c r="C11" s="31" t="str">
        <f>IF('🧪 Lab Results'!$C$12="","",'🧪 Lab Results'!$C$12)</f>
        <v>mg/dL</v>
      </c>
      <c r="D11" s="36"/>
      <c r="E11" s="36">
        <v>7</v>
      </c>
      <c r="F11" s="30" t="s">
        <v>489</v>
      </c>
      <c r="H11" s="32" t="s">
        <v>490</v>
      </c>
      <c r="I11" s="36">
        <v>90</v>
      </c>
      <c r="L11" s="37" t="str">
        <f>IF(OR('📈 Dashboard'!$O$63="▲ HIGH",'📈 Dashboard'!$O$63="▼ LOW"),B11,"")</f>
        <v/>
      </c>
      <c r="M11" s="37">
        <f>SUMPRODUCT(MAX(('🧪 Lab Results'!$G12:$Z12&lt;&gt;"")*COLUMN('🧪 Lab Results'!$G12:$Z12)))</f>
        <v>0</v>
      </c>
      <c r="N11" s="37">
        <f>IF(M11=0,0,SUMPRODUCT(MAX(('🧪 Lab Results'!$G12:$Z12&lt;&gt;"")*(COLUMN('🧪 Lab Results'!$G12:$Z12)&lt;M11)*COLUMN('🧪 Lab Results'!$G12:$Z12))))</f>
        <v>0</v>
      </c>
      <c r="O11" s="37" t="str">
        <f t="shared" si="4"/>
        <v/>
      </c>
      <c r="P11" s="37">
        <f t="shared" si="0"/>
        <v>70</v>
      </c>
      <c r="Q11" s="37">
        <f t="shared" si="1"/>
        <v>126</v>
      </c>
      <c r="R11" s="37">
        <f t="shared" si="2"/>
        <v>180</v>
      </c>
      <c r="T11" s="37">
        <f>T10+IF(TRIM('💊 Medication History'!$I$10)="ACTIVE",1,0)</f>
        <v>0</v>
      </c>
      <c r="U11" s="37">
        <v>6</v>
      </c>
      <c r="V11" s="37">
        <f t="shared" si="3"/>
        <v>0</v>
      </c>
      <c r="X11" s="121"/>
    </row>
    <row r="12" spans="2:24" x14ac:dyDescent="0.25">
      <c r="B12" s="32" t="str">
        <f>TRIM('🧪 Lab Results'!$B$13)</f>
        <v>Potassium</v>
      </c>
      <c r="C12" s="31" t="str">
        <f>IF('🧪 Lab Results'!$C$13="","",'🧪 Lab Results'!$C$13)</f>
        <v>mEq/L</v>
      </c>
      <c r="D12" s="36">
        <v>3.5</v>
      </c>
      <c r="E12" s="36">
        <v>5</v>
      </c>
      <c r="F12" s="30" t="s">
        <v>487</v>
      </c>
      <c r="H12" s="32" t="s">
        <v>491</v>
      </c>
      <c r="I12" s="36">
        <v>1.5</v>
      </c>
      <c r="L12" s="37" t="str">
        <f>IF(OR('📈 Dashboard'!$O$64="▲ HIGH",'📈 Dashboard'!$O$64="▼ LOW"),B12,"")</f>
        <v/>
      </c>
      <c r="M12" s="37">
        <f>SUMPRODUCT(MAX(('🧪 Lab Results'!$G13:$Z13&lt;&gt;"")*COLUMN('🧪 Lab Results'!$G13:$Z13)))</f>
        <v>0</v>
      </c>
      <c r="N12" s="37">
        <f>IF(M12=0,0,SUMPRODUCT(MAX(('🧪 Lab Results'!$G13:$Z13&lt;&gt;"")*(COLUMN('🧪 Lab Results'!$G13:$Z13)&lt;M12)*COLUMN('🧪 Lab Results'!$G13:$Z13))))</f>
        <v>0</v>
      </c>
      <c r="O12" s="37" t="str">
        <f t="shared" si="4"/>
        <v/>
      </c>
      <c r="P12" s="37">
        <f t="shared" si="0"/>
        <v>70</v>
      </c>
      <c r="Q12" s="37">
        <f t="shared" si="1"/>
        <v>126</v>
      </c>
      <c r="R12" s="37">
        <f t="shared" si="2"/>
        <v>180</v>
      </c>
      <c r="T12" s="37">
        <f>T11+IF(TRIM('💊 Medication History'!$I$11)="ACTIVE",1,0)</f>
        <v>0</v>
      </c>
      <c r="U12" s="37">
        <v>7</v>
      </c>
      <c r="V12" s="37">
        <f t="shared" si="3"/>
        <v>0</v>
      </c>
      <c r="X12" s="121"/>
    </row>
    <row r="13" spans="2:24" x14ac:dyDescent="0.25">
      <c r="B13" s="32" t="str">
        <f>TRIM('🧪 Lab Results'!$B$14)</f>
        <v>Sodium</v>
      </c>
      <c r="C13" s="31" t="str">
        <f>IF('🧪 Lab Results'!$C$14="","",'🧪 Lab Results'!$C$14)</f>
        <v>mEq/L</v>
      </c>
      <c r="D13" s="36">
        <v>135</v>
      </c>
      <c r="E13" s="36">
        <v>145</v>
      </c>
      <c r="F13" s="30" t="s">
        <v>487</v>
      </c>
      <c r="H13" s="32" t="s">
        <v>492</v>
      </c>
      <c r="I13" s="36">
        <v>2</v>
      </c>
      <c r="L13" s="37" t="str">
        <f>IF(OR('📈 Dashboard'!$O$65="▲ HIGH",'📈 Dashboard'!$O$65="▼ LOW"),B13,"")</f>
        <v/>
      </c>
      <c r="M13" s="37">
        <f>SUMPRODUCT(MAX(('🧪 Lab Results'!$G14:$Z14&lt;&gt;"")*COLUMN('🧪 Lab Results'!$G14:$Z14)))</f>
        <v>0</v>
      </c>
      <c r="N13" s="37">
        <f>IF(M13=0,0,SUMPRODUCT(MAX(('🧪 Lab Results'!$G14:$Z14&lt;&gt;"")*(COLUMN('🧪 Lab Results'!$G14:$Z14)&lt;M13)*COLUMN('🧪 Lab Results'!$G14:$Z14))))</f>
        <v>0</v>
      </c>
      <c r="O13" s="37" t="str">
        <f t="shared" si="4"/>
        <v/>
      </c>
      <c r="P13" s="37">
        <f t="shared" si="0"/>
        <v>70</v>
      </c>
      <c r="Q13" s="37">
        <f t="shared" si="1"/>
        <v>126</v>
      </c>
      <c r="R13" s="37">
        <f t="shared" si="2"/>
        <v>180</v>
      </c>
      <c r="T13" s="37">
        <f>T12+IF(TRIM('💊 Medication History'!$I$12)="ACTIVE",1,0)</f>
        <v>0</v>
      </c>
      <c r="U13" s="37">
        <v>8</v>
      </c>
      <c r="V13" s="37">
        <f t="shared" si="3"/>
        <v>0</v>
      </c>
    </row>
    <row r="14" spans="2:24" x14ac:dyDescent="0.25">
      <c r="B14" s="32" t="str">
        <f>TRIM('🧪 Lab Results'!$B$15)</f>
        <v>Serum Bicarbonate</v>
      </c>
      <c r="C14" s="31" t="str">
        <f>IF('🧪 Lab Results'!$C$15="","",'🧪 Lab Results'!$C$15)</f>
        <v>mEq/L</v>
      </c>
      <c r="D14" s="36">
        <v>22</v>
      </c>
      <c r="E14" s="36">
        <v>29</v>
      </c>
      <c r="F14" s="30" t="s">
        <v>487</v>
      </c>
      <c r="L14" s="37" t="str">
        <f>IF(OR('📈 Dashboard'!$O$66="▲ HIGH",'📈 Dashboard'!$O$66="▼ LOW"),B14,"")</f>
        <v/>
      </c>
      <c r="M14" s="37">
        <f>SUMPRODUCT(MAX(('🧪 Lab Results'!$G15:$Z15&lt;&gt;"")*COLUMN('🧪 Lab Results'!$G15:$Z15)))</f>
        <v>0</v>
      </c>
      <c r="N14" s="37">
        <f>IF(M14=0,0,SUMPRODUCT(MAX(('🧪 Lab Results'!$G15:$Z15&lt;&gt;"")*(COLUMN('🧪 Lab Results'!$G15:$Z15)&lt;M14)*COLUMN('🧪 Lab Results'!$G15:$Z15))))</f>
        <v>0</v>
      </c>
      <c r="O14" s="37" t="str">
        <f t="shared" si="4"/>
        <v/>
      </c>
      <c r="P14" s="37">
        <f t="shared" si="0"/>
        <v>70</v>
      </c>
      <c r="Q14" s="37">
        <f t="shared" si="1"/>
        <v>126</v>
      </c>
      <c r="R14" s="37">
        <f t="shared" si="2"/>
        <v>180</v>
      </c>
      <c r="T14" s="37">
        <f>T13+IF(TRIM('💊 Medication History'!$I$13)="ACTIVE",1,0)</f>
        <v>0</v>
      </c>
      <c r="U14" s="37">
        <v>9</v>
      </c>
      <c r="V14" s="37">
        <f t="shared" si="3"/>
        <v>0</v>
      </c>
    </row>
    <row r="15" spans="2:24" x14ac:dyDescent="0.25">
      <c r="B15" s="32" t="str">
        <f>TRIM('🧪 Lab Results'!$B$17)</f>
        <v>FBS (Fasting Sugar)</v>
      </c>
      <c r="C15" s="31" t="str">
        <f>IF('🧪 Lab Results'!$C$17="","",'🧪 Lab Results'!$C$17)</f>
        <v>mg/dL</v>
      </c>
      <c r="D15" s="36">
        <v>70</v>
      </c>
      <c r="E15" s="36">
        <v>126</v>
      </c>
      <c r="F15" s="30" t="s">
        <v>493</v>
      </c>
      <c r="H15" s="145" t="s">
        <v>494</v>
      </c>
      <c r="I15" s="121"/>
      <c r="L15" s="37" t="str">
        <f>IF(OR('📈 Dashboard'!$O$67="▲ HIGH",'📈 Dashboard'!$O$67="▼ LOW"),B15,"")</f>
        <v/>
      </c>
      <c r="M15" s="37">
        <f>SUMPRODUCT(MAX(('🧪 Lab Results'!$G17:$Z17&lt;&gt;"")*COLUMN('🧪 Lab Results'!$G17:$Z17)))</f>
        <v>0</v>
      </c>
      <c r="N15" s="37">
        <f>IF(M15=0,0,SUMPRODUCT(MAX(('🧪 Lab Results'!$G17:$Z17&lt;&gt;"")*(COLUMN('🧪 Lab Results'!$G17:$Z17)&lt;M15)*COLUMN('🧪 Lab Results'!$G17:$Z17))))</f>
        <v>0</v>
      </c>
      <c r="O15" s="37" t="str">
        <f t="shared" si="4"/>
        <v/>
      </c>
      <c r="P15" s="37">
        <f t="shared" si="0"/>
        <v>70</v>
      </c>
      <c r="Q15" s="37">
        <f t="shared" si="1"/>
        <v>126</v>
      </c>
      <c r="R15" s="37">
        <f t="shared" si="2"/>
        <v>180</v>
      </c>
      <c r="T15" s="37">
        <f>T14+IF(TRIM('💊 Medication History'!$I$14)="ACTIVE",1,0)</f>
        <v>0</v>
      </c>
      <c r="U15" s="37">
        <v>10</v>
      </c>
      <c r="V15" s="37">
        <f t="shared" si="3"/>
        <v>0</v>
      </c>
    </row>
    <row r="16" spans="2:24" x14ac:dyDescent="0.25">
      <c r="B16" s="32" t="str">
        <f>TRIM('🧪 Lab Results'!$B$18)</f>
        <v>PPBS (Post-meal)</v>
      </c>
      <c r="C16" s="31" t="str">
        <f>IF('🧪 Lab Results'!$C$18="","",'🧪 Lab Results'!$C$18)</f>
        <v>mg/dL</v>
      </c>
      <c r="D16" s="36"/>
      <c r="E16" s="36">
        <v>180</v>
      </c>
      <c r="F16" s="30" t="s">
        <v>495</v>
      </c>
      <c r="H16" s="121"/>
      <c r="I16" s="121"/>
      <c r="L16" s="37" t="str">
        <f>IF(OR('📈 Dashboard'!$O$68="▲ HIGH",'📈 Dashboard'!$O$68="▼ LOW"),B16,"")</f>
        <v/>
      </c>
      <c r="M16" s="37">
        <f>SUMPRODUCT(MAX(('🧪 Lab Results'!$G18:$Z18&lt;&gt;"")*COLUMN('🧪 Lab Results'!$G18:$Z18)))</f>
        <v>0</v>
      </c>
      <c r="N16" s="37">
        <f>IF(M16=0,0,SUMPRODUCT(MAX(('🧪 Lab Results'!$G18:$Z18&lt;&gt;"")*(COLUMN('🧪 Lab Results'!$G18:$Z18)&lt;M16)*COLUMN('🧪 Lab Results'!$G18:$Z18))))</f>
        <v>0</v>
      </c>
      <c r="O16" s="37" t="str">
        <f t="shared" si="4"/>
        <v/>
      </c>
      <c r="P16" s="37">
        <f t="shared" si="0"/>
        <v>70</v>
      </c>
      <c r="Q16" s="37">
        <f t="shared" si="1"/>
        <v>126</v>
      </c>
      <c r="R16" s="37">
        <f t="shared" si="2"/>
        <v>180</v>
      </c>
      <c r="T16" s="37">
        <f>T15+IF(TRIM('💊 Medication History'!$I$15)="ACTIVE",1,0)</f>
        <v>0</v>
      </c>
      <c r="U16" s="37">
        <v>11</v>
      </c>
      <c r="V16" s="37">
        <f t="shared" si="3"/>
        <v>0</v>
      </c>
    </row>
    <row r="17" spans="2:22" x14ac:dyDescent="0.25">
      <c r="B17" s="32" t="str">
        <f>TRIM('🧪 Lab Results'!$B$19)</f>
        <v>HbA1c</v>
      </c>
      <c r="C17" s="31" t="str">
        <f>IF('🧪 Lab Results'!$C$19="","",'🧪 Lab Results'!$C$19)</f>
        <v>%</v>
      </c>
      <c r="D17" s="36"/>
      <c r="E17" s="36">
        <v>7</v>
      </c>
      <c r="F17" s="30" t="s">
        <v>496</v>
      </c>
      <c r="H17" s="121"/>
      <c r="I17" s="121"/>
      <c r="L17" s="37" t="str">
        <f>IF(OR('📈 Dashboard'!$O$69="▲ HIGH",'📈 Dashboard'!$O$69="▼ LOW"),B17,"")</f>
        <v/>
      </c>
      <c r="M17" s="37">
        <f>SUMPRODUCT(MAX(('🧪 Lab Results'!$G19:$Z19&lt;&gt;"")*COLUMN('🧪 Lab Results'!$G19:$Z19)))</f>
        <v>0</v>
      </c>
      <c r="N17" s="37">
        <f>IF(M17=0,0,SUMPRODUCT(MAX(('🧪 Lab Results'!$G19:$Z19&lt;&gt;"")*(COLUMN('🧪 Lab Results'!$G19:$Z19)&lt;M17)*COLUMN('🧪 Lab Results'!$G19:$Z19))))</f>
        <v>0</v>
      </c>
      <c r="O17" s="37" t="str">
        <f t="shared" si="4"/>
        <v/>
      </c>
      <c r="P17" s="37">
        <f t="shared" si="0"/>
        <v>70</v>
      </c>
      <c r="Q17" s="37">
        <f t="shared" si="1"/>
        <v>126</v>
      </c>
      <c r="R17" s="37">
        <f t="shared" si="2"/>
        <v>180</v>
      </c>
      <c r="T17" s="37">
        <f>T16+IF(TRIM('💊 Medication History'!$I$16)="ACTIVE",1,0)</f>
        <v>0</v>
      </c>
      <c r="U17" s="37">
        <v>12</v>
      </c>
      <c r="V17" s="37">
        <f t="shared" si="3"/>
        <v>0</v>
      </c>
    </row>
    <row r="18" spans="2:22" x14ac:dyDescent="0.25">
      <c r="B18" s="32" t="str">
        <f>TRIM('🧪 Lab Results'!$B$21)</f>
        <v>Haemoglobin</v>
      </c>
      <c r="C18" s="31" t="str">
        <f>IF('🧪 Lab Results'!$C$21="","",'🧪 Lab Results'!$C$21)</f>
        <v>g/dL</v>
      </c>
      <c r="D18" s="36">
        <v>11</v>
      </c>
      <c r="E18" s="36">
        <v>14</v>
      </c>
      <c r="F18" s="30" t="s">
        <v>497</v>
      </c>
      <c r="H18" s="121"/>
      <c r="I18" s="121"/>
      <c r="L18" s="37" t="str">
        <f>IF(OR('📈 Dashboard'!$O$70="▲ HIGH",'📈 Dashboard'!$O$70="▼ LOW"),B18,"")</f>
        <v/>
      </c>
      <c r="M18" s="37">
        <f>SUMPRODUCT(MAX(('🧪 Lab Results'!$G21:$Z21&lt;&gt;"")*COLUMN('🧪 Lab Results'!$G21:$Z21)))</f>
        <v>0</v>
      </c>
      <c r="N18" s="37">
        <f>IF(M18=0,0,SUMPRODUCT(MAX(('🧪 Lab Results'!$G21:$Z21&lt;&gt;"")*(COLUMN('🧪 Lab Results'!$G21:$Z21)&lt;M18)*COLUMN('🧪 Lab Results'!$G21:$Z21))))</f>
        <v>0</v>
      </c>
      <c r="O18" s="37" t="str">
        <f t="shared" si="4"/>
        <v/>
      </c>
      <c r="P18" s="37">
        <f t="shared" si="0"/>
        <v>70</v>
      </c>
      <c r="Q18" s="37">
        <f t="shared" si="1"/>
        <v>126</v>
      </c>
      <c r="R18" s="37">
        <f t="shared" si="2"/>
        <v>180</v>
      </c>
      <c r="T18" s="37">
        <f>T17+IF(TRIM('💊 Medication History'!$I$17)="ACTIVE",1,0)</f>
        <v>0</v>
      </c>
      <c r="U18" s="37">
        <v>13</v>
      </c>
      <c r="V18" s="37">
        <f t="shared" si="3"/>
        <v>0</v>
      </c>
    </row>
    <row r="19" spans="2:22" x14ac:dyDescent="0.25">
      <c r="B19" s="32" t="str">
        <f>TRIM('🧪 Lab Results'!$B$22)</f>
        <v>TLC (WBC)</v>
      </c>
      <c r="C19" s="31" t="str">
        <f>IF('🧪 Lab Results'!$C$22="","",'🧪 Lab Results'!$C$22)</f>
        <v>×10³/μL</v>
      </c>
      <c r="D19" s="36">
        <v>4</v>
      </c>
      <c r="E19" s="36">
        <v>10</v>
      </c>
      <c r="F19" s="30" t="s">
        <v>485</v>
      </c>
      <c r="H19" s="121"/>
      <c r="I19" s="121"/>
      <c r="L19" s="37" t="str">
        <f>IF(OR('📈 Dashboard'!$O$71="▲ HIGH",'📈 Dashboard'!$O$71="▼ LOW"),B19,"")</f>
        <v/>
      </c>
      <c r="M19" s="37">
        <f>SUMPRODUCT(MAX(('🧪 Lab Results'!$G22:$Z22&lt;&gt;"")*COLUMN('🧪 Lab Results'!$G22:$Z22)))</f>
        <v>0</v>
      </c>
      <c r="N19" s="37">
        <f>IF(M19=0,0,SUMPRODUCT(MAX(('🧪 Lab Results'!$G22:$Z22&lt;&gt;"")*(COLUMN('🧪 Lab Results'!$G22:$Z22)&lt;M19)*COLUMN('🧪 Lab Results'!$G22:$Z22))))</f>
        <v>0</v>
      </c>
      <c r="O19" s="37" t="str">
        <f t="shared" si="4"/>
        <v/>
      </c>
      <c r="P19" s="37">
        <f t="shared" si="0"/>
        <v>70</v>
      </c>
      <c r="Q19" s="37">
        <f t="shared" si="1"/>
        <v>126</v>
      </c>
      <c r="R19" s="37">
        <f t="shared" si="2"/>
        <v>180</v>
      </c>
      <c r="T19" s="37">
        <f>T18+IF(TRIM('💊 Medication History'!$I$18)="ACTIVE",1,0)</f>
        <v>0</v>
      </c>
      <c r="U19" s="37">
        <v>14</v>
      </c>
      <c r="V19" s="37">
        <f t="shared" si="3"/>
        <v>0</v>
      </c>
    </row>
    <row r="20" spans="2:22" x14ac:dyDescent="0.25">
      <c r="B20" s="32" t="str">
        <f>TRIM('🧪 Lab Results'!$B$23)</f>
        <v>Platelets</v>
      </c>
      <c r="C20" s="31" t="str">
        <f>IF('🧪 Lab Results'!$C$23="","",'🧪 Lab Results'!$C$23)</f>
        <v>×10³/μL</v>
      </c>
      <c r="D20" s="36">
        <v>150</v>
      </c>
      <c r="E20" s="36">
        <v>350</v>
      </c>
      <c r="F20" s="30" t="s">
        <v>485</v>
      </c>
      <c r="H20" s="121"/>
      <c r="I20" s="121"/>
      <c r="L20" s="37" t="str">
        <f>IF(OR('📈 Dashboard'!$O$72="▲ HIGH",'📈 Dashboard'!$O$72="▼ LOW"),B20,"")</f>
        <v/>
      </c>
      <c r="M20" s="37">
        <f>SUMPRODUCT(MAX(('🧪 Lab Results'!$G23:$Z23&lt;&gt;"")*COLUMN('🧪 Lab Results'!$G23:$Z23)))</f>
        <v>0</v>
      </c>
      <c r="N20" s="37">
        <f>IF(M20=0,0,SUMPRODUCT(MAX(('🧪 Lab Results'!$G23:$Z23&lt;&gt;"")*(COLUMN('🧪 Lab Results'!$G23:$Z23)&lt;M20)*COLUMN('🧪 Lab Results'!$G23:$Z23))))</f>
        <v>0</v>
      </c>
      <c r="O20" s="37" t="str">
        <f t="shared" si="4"/>
        <v/>
      </c>
      <c r="P20" s="37">
        <f t="shared" si="0"/>
        <v>70</v>
      </c>
      <c r="Q20" s="37">
        <f t="shared" si="1"/>
        <v>126</v>
      </c>
      <c r="R20" s="37">
        <f t="shared" si="2"/>
        <v>180</v>
      </c>
      <c r="T20" s="37">
        <f>T19+IF(TRIM('💊 Medication History'!$I$19)="ACTIVE",1,0)</f>
        <v>0</v>
      </c>
      <c r="U20" s="37">
        <v>15</v>
      </c>
      <c r="V20" s="37">
        <f t="shared" si="3"/>
        <v>0</v>
      </c>
    </row>
    <row r="21" spans="2:22" x14ac:dyDescent="0.25">
      <c r="B21" s="32" t="str">
        <f>TRIM('🧪 Lab Results'!$B$25)</f>
        <v>Serum Albumin</v>
      </c>
      <c r="C21" s="31" t="str">
        <f>IF('🧪 Lab Results'!$C$25="","",'🧪 Lab Results'!$C$25)</f>
        <v>g/dL</v>
      </c>
      <c r="D21" s="36">
        <v>3.5</v>
      </c>
      <c r="E21" s="36">
        <v>5</v>
      </c>
      <c r="F21" s="30" t="s">
        <v>487</v>
      </c>
      <c r="H21" s="121"/>
      <c r="I21" s="121"/>
      <c r="L21" s="37" t="str">
        <f>IF(OR('📈 Dashboard'!$O$73="▲ HIGH",'📈 Dashboard'!$O$73="▼ LOW"),B21,"")</f>
        <v/>
      </c>
      <c r="M21" s="37">
        <f>SUMPRODUCT(MAX(('🧪 Lab Results'!$G25:$Z25&lt;&gt;"")*COLUMN('🧪 Lab Results'!$G25:$Z25)))</f>
        <v>0</v>
      </c>
      <c r="N21" s="37">
        <f>IF(M21=0,0,SUMPRODUCT(MAX(('🧪 Lab Results'!$G25:$Z25&lt;&gt;"")*(COLUMN('🧪 Lab Results'!$G25:$Z25)&lt;M21)*COLUMN('🧪 Lab Results'!$G25:$Z25))))</f>
        <v>0</v>
      </c>
      <c r="O21" s="37" t="str">
        <f t="shared" si="4"/>
        <v/>
      </c>
      <c r="P21" s="37">
        <f t="shared" si="0"/>
        <v>70</v>
      </c>
      <c r="Q21" s="37">
        <f t="shared" si="1"/>
        <v>126</v>
      </c>
      <c r="R21" s="37">
        <f t="shared" si="2"/>
        <v>180</v>
      </c>
      <c r="T21" s="37">
        <f>T20+IF(TRIM('💊 Medication History'!$I$20)="ACTIVE",1,0)</f>
        <v>0</v>
      </c>
    </row>
    <row r="22" spans="2:22" x14ac:dyDescent="0.25">
      <c r="B22" s="32" t="str">
        <f>TRIM('🧪 Lab Results'!$B$26)</f>
        <v>Total Bilirubin</v>
      </c>
      <c r="C22" s="31" t="str">
        <f>IF('🧪 Lab Results'!$C$26="","",'🧪 Lab Results'!$C$26)</f>
        <v>mg/dL</v>
      </c>
      <c r="D22" s="36"/>
      <c r="E22" s="36">
        <v>1.2</v>
      </c>
      <c r="F22" s="30" t="s">
        <v>498</v>
      </c>
      <c r="L22" s="37" t="str">
        <f>IF(OR('📈 Dashboard'!$O$74="▲ HIGH",'📈 Dashboard'!$O$74="▼ LOW"),B22,"")</f>
        <v/>
      </c>
      <c r="M22" s="37">
        <f>SUMPRODUCT(MAX(('🧪 Lab Results'!$G26:$Z26&lt;&gt;"")*COLUMN('🧪 Lab Results'!$G26:$Z26)))</f>
        <v>0</v>
      </c>
      <c r="N22" s="37">
        <f>IF(M22=0,0,SUMPRODUCT(MAX(('🧪 Lab Results'!$G26:$Z26&lt;&gt;"")*(COLUMN('🧪 Lab Results'!$G26:$Z26)&lt;M22)*COLUMN('🧪 Lab Results'!$G26:$Z26))))</f>
        <v>0</v>
      </c>
      <c r="O22" s="37" t="str">
        <f t="shared" si="4"/>
        <v/>
      </c>
      <c r="P22" s="37">
        <f t="shared" si="0"/>
        <v>70</v>
      </c>
      <c r="Q22" s="37">
        <f t="shared" si="1"/>
        <v>126</v>
      </c>
      <c r="R22" s="37">
        <f t="shared" si="2"/>
        <v>180</v>
      </c>
      <c r="T22" s="37">
        <f>T21+IF(TRIM('💊 Medication History'!$I$21)="ACTIVE",1,0)</f>
        <v>0</v>
      </c>
    </row>
    <row r="23" spans="2:22" x14ac:dyDescent="0.25">
      <c r="B23" s="32" t="str">
        <f>TRIM('🧪 Lab Results'!$B$27)</f>
        <v>SGOT / AST</v>
      </c>
      <c r="C23" s="31" t="str">
        <f>IF('🧪 Lab Results'!$C$27="","",'🧪 Lab Results'!$C$27)</f>
        <v>U/L</v>
      </c>
      <c r="D23" s="36"/>
      <c r="E23" s="36">
        <v>40</v>
      </c>
      <c r="F23" s="30" t="s">
        <v>498</v>
      </c>
      <c r="H23" s="145" t="s">
        <v>499</v>
      </c>
      <c r="I23" s="121"/>
      <c r="L23" s="37" t="str">
        <f>IF(OR('📈 Dashboard'!$O$75="▲ HIGH",'📈 Dashboard'!$O$75="▼ LOW"),B23,"")</f>
        <v/>
      </c>
      <c r="M23" s="37">
        <f>SUMPRODUCT(MAX(('🧪 Lab Results'!$G27:$Z27&lt;&gt;"")*COLUMN('🧪 Lab Results'!$G27:$Z27)))</f>
        <v>0</v>
      </c>
      <c r="N23" s="37">
        <f>IF(M23=0,0,SUMPRODUCT(MAX(('🧪 Lab Results'!$G27:$Z27&lt;&gt;"")*(COLUMN('🧪 Lab Results'!$G27:$Z27)&lt;M23)*COLUMN('🧪 Lab Results'!$G27:$Z27))))</f>
        <v>0</v>
      </c>
      <c r="O23" s="37" t="str">
        <f t="shared" si="4"/>
        <v/>
      </c>
      <c r="P23" s="37">
        <f t="shared" si="0"/>
        <v>70</v>
      </c>
      <c r="Q23" s="37">
        <f t="shared" si="1"/>
        <v>126</v>
      </c>
      <c r="R23" s="37">
        <f t="shared" si="2"/>
        <v>180</v>
      </c>
      <c r="T23" s="37">
        <f>T22+IF(TRIM('💊 Medication History'!$I$22)="ACTIVE",1,0)</f>
        <v>0</v>
      </c>
    </row>
    <row r="24" spans="2:22" x14ac:dyDescent="0.25">
      <c r="B24" s="32" t="str">
        <f>TRIM('🧪 Lab Results'!$B$28)</f>
        <v>SGPT / ALT</v>
      </c>
      <c r="C24" s="31" t="str">
        <f>IF('🧪 Lab Results'!$C$28="","",'🧪 Lab Results'!$C$28)</f>
        <v>U/L</v>
      </c>
      <c r="D24" s="36"/>
      <c r="E24" s="36">
        <v>56</v>
      </c>
      <c r="F24" s="30" t="s">
        <v>500</v>
      </c>
      <c r="H24" s="121"/>
      <c r="I24" s="121"/>
      <c r="L24" s="37" t="str">
        <f>IF(OR('📈 Dashboard'!$O$76="▲ HIGH",'📈 Dashboard'!$O$76="▼ LOW"),B24,"")</f>
        <v/>
      </c>
      <c r="M24" s="37">
        <f>SUMPRODUCT(MAX(('🧪 Lab Results'!$G28:$Z28&lt;&gt;"")*COLUMN('🧪 Lab Results'!$G28:$Z28)))</f>
        <v>0</v>
      </c>
      <c r="N24" s="37">
        <f>IF(M24=0,0,SUMPRODUCT(MAX(('🧪 Lab Results'!$G28:$Z28&lt;&gt;"")*(COLUMN('🧪 Lab Results'!$G28:$Z28)&lt;M24)*COLUMN('🧪 Lab Results'!$G28:$Z28))))</f>
        <v>0</v>
      </c>
      <c r="O24" s="37" t="str">
        <f t="shared" si="4"/>
        <v/>
      </c>
      <c r="P24" s="37">
        <f t="shared" si="0"/>
        <v>70</v>
      </c>
      <c r="Q24" s="37">
        <f t="shared" si="1"/>
        <v>126</v>
      </c>
      <c r="R24" s="37">
        <f t="shared" si="2"/>
        <v>180</v>
      </c>
      <c r="T24" s="37">
        <f>T23+IF(TRIM('💊 Medication History'!$I$23)="ACTIVE",1,0)</f>
        <v>0</v>
      </c>
    </row>
    <row r="25" spans="2:22" x14ac:dyDescent="0.25">
      <c r="B25" s="32" t="str">
        <f>TRIM('🧪 Lab Results'!$B$29)</f>
        <v>Lipid Profile (LDL)</v>
      </c>
      <c r="C25" s="31" t="str">
        <f>IF('🧪 Lab Results'!$C$29="","",'🧪 Lab Results'!$C$29)</f>
        <v>mg/dL</v>
      </c>
      <c r="D25" s="36"/>
      <c r="E25" s="36">
        <v>100</v>
      </c>
      <c r="F25" s="30" t="s">
        <v>498</v>
      </c>
      <c r="H25" s="121"/>
      <c r="I25" s="121"/>
      <c r="L25" s="37" t="str">
        <f>IF(OR('📈 Dashboard'!$O$77="▲ HIGH",'📈 Dashboard'!$O$77="▼ LOW"),B25,"")</f>
        <v/>
      </c>
      <c r="M25" s="37">
        <f>SUMPRODUCT(MAX(('🧪 Lab Results'!$G29:$Z29&lt;&gt;"")*COLUMN('🧪 Lab Results'!$G29:$Z29)))</f>
        <v>0</v>
      </c>
      <c r="N25" s="37">
        <f>IF(M25=0,0,SUMPRODUCT(MAX(('🧪 Lab Results'!$G29:$Z29&lt;&gt;"")*(COLUMN('🧪 Lab Results'!$G29:$Z29)&lt;M25)*COLUMN('🧪 Lab Results'!$G29:$Z29))))</f>
        <v>0</v>
      </c>
      <c r="O25" s="37" t="str">
        <f t="shared" si="4"/>
        <v/>
      </c>
      <c r="P25" s="37">
        <f t="shared" si="0"/>
        <v>70</v>
      </c>
      <c r="Q25" s="37">
        <f t="shared" si="1"/>
        <v>126</v>
      </c>
      <c r="R25" s="37">
        <f t="shared" si="2"/>
        <v>180</v>
      </c>
      <c r="T25" s="37">
        <f>T24+IF(TRIM('💊 Medication History'!$I$24)="ACTIVE",1,0)</f>
        <v>0</v>
      </c>
    </row>
    <row r="26" spans="2:22" x14ac:dyDescent="0.25">
      <c r="B26" s="32" t="str">
        <f>TRIM('🧪 Lab Results'!$B$31)</f>
        <v>Vitamin D (25-OH)</v>
      </c>
      <c r="C26" s="31" t="str">
        <f>IF('🧪 Lab Results'!$C$31="","",'🧪 Lab Results'!$C$31)</f>
        <v>ng/mL</v>
      </c>
      <c r="D26" s="36">
        <v>30</v>
      </c>
      <c r="E26" s="36">
        <v>100</v>
      </c>
      <c r="F26" s="30" t="s">
        <v>487</v>
      </c>
      <c r="H26" s="121"/>
      <c r="I26" s="121"/>
      <c r="L26" s="37" t="str">
        <f>IF(OR('📈 Dashboard'!$O$78="▲ HIGH",'📈 Dashboard'!$O$78="▼ LOW"),B26,"")</f>
        <v/>
      </c>
      <c r="M26" s="37">
        <f>SUMPRODUCT(MAX(('🧪 Lab Results'!$G31:$Z31&lt;&gt;"")*COLUMN('🧪 Lab Results'!$G31:$Z31)))</f>
        <v>0</v>
      </c>
      <c r="N26" s="37">
        <f>IF(M26=0,0,SUMPRODUCT(MAX(('🧪 Lab Results'!$G31:$Z31&lt;&gt;"")*(COLUMN('🧪 Lab Results'!$G31:$Z31)&lt;M26)*COLUMN('🧪 Lab Results'!$G31:$Z31))))</f>
        <v>0</v>
      </c>
      <c r="O26" s="37" t="str">
        <f t="shared" si="4"/>
        <v/>
      </c>
      <c r="P26" s="37">
        <f t="shared" si="0"/>
        <v>70</v>
      </c>
      <c r="Q26" s="37">
        <f t="shared" si="1"/>
        <v>126</v>
      </c>
      <c r="R26" s="37">
        <f t="shared" si="2"/>
        <v>180</v>
      </c>
      <c r="T26" s="37">
        <f>T25+IF(TRIM('💊 Medication History'!$I$25)="ACTIVE",1,0)</f>
        <v>0</v>
      </c>
    </row>
    <row r="27" spans="2:22" x14ac:dyDescent="0.25">
      <c r="B27" s="32" t="str">
        <f>TRIM('🧪 Lab Results'!$B$38)</f>
        <v>Urine PCR (UACR)</v>
      </c>
      <c r="C27" s="31" t="str">
        <f>IF('🧪 Lab Results'!$C$38="","",'🧪 Lab Results'!$C$38)</f>
        <v>mg/g</v>
      </c>
      <c r="D27" s="36"/>
      <c r="E27" s="36">
        <v>300</v>
      </c>
      <c r="F27" s="30" t="s">
        <v>501</v>
      </c>
      <c r="L27" s="37" t="str">
        <f>IF(OR('📈 Dashboard'!$O$79="▲ HIGH",'📈 Dashboard'!$O$79="▼ LOW"),B27,"")</f>
        <v/>
      </c>
      <c r="M27" s="37">
        <f>SUMPRODUCT(MAX(('🧪 Lab Results'!$G38:$Z38&lt;&gt;"")*COLUMN('🧪 Lab Results'!$G38:$Z38)))</f>
        <v>0</v>
      </c>
      <c r="N27" s="37">
        <f>IF(M27=0,0,SUMPRODUCT(MAX(('🧪 Lab Results'!$G38:$Z38&lt;&gt;"")*(COLUMN('🧪 Lab Results'!$G38:$Z38)&lt;M27)*COLUMN('🧪 Lab Results'!$G38:$Z38))))</f>
        <v>0</v>
      </c>
      <c r="O27" s="37" t="str">
        <f t="shared" si="4"/>
        <v/>
      </c>
      <c r="P27" s="37">
        <f t="shared" si="0"/>
        <v>70</v>
      </c>
      <c r="Q27" s="37">
        <f t="shared" si="1"/>
        <v>126</v>
      </c>
      <c r="R27" s="37">
        <f t="shared" si="2"/>
        <v>180</v>
      </c>
      <c r="T27" s="37">
        <f>T26+IF(TRIM('💊 Medication History'!$I$26)="ACTIVE",1,0)</f>
        <v>0</v>
      </c>
    </row>
    <row r="28" spans="2:22" x14ac:dyDescent="0.25">
      <c r="B28" s="32" t="str">
        <f>TRIM('🧪 Lab Results'!$B$39)</f>
        <v>24h Urine Protein</v>
      </c>
      <c r="C28" s="31" t="str">
        <f>IF('🧪 Lab Results'!$C$39="","",'🧪 Lab Results'!$C$39)</f>
        <v>mg/24h</v>
      </c>
      <c r="D28" s="36"/>
      <c r="E28" s="36">
        <v>300</v>
      </c>
      <c r="F28" s="30" t="s">
        <v>501</v>
      </c>
      <c r="L28" s="37" t="str">
        <f>IF(OR('📈 Dashboard'!$O$80="▲ HIGH",'📈 Dashboard'!$O$80="▼ LOW"),B28,"")</f>
        <v/>
      </c>
      <c r="M28" s="37">
        <f>SUMPRODUCT(MAX(('🧪 Lab Results'!$G39:$Z39&lt;&gt;"")*COLUMN('🧪 Lab Results'!$G39:$Z39)))</f>
        <v>0</v>
      </c>
      <c r="N28" s="37">
        <f>IF(M28=0,0,SUMPRODUCT(MAX(('🧪 Lab Results'!$G39:$Z39&lt;&gt;"")*(COLUMN('🧪 Lab Results'!$G39:$Z39)&lt;M28)*COLUMN('🧪 Lab Results'!$G39:$Z39))))</f>
        <v>0</v>
      </c>
      <c r="O28" s="37" t="str">
        <f t="shared" si="4"/>
        <v/>
      </c>
      <c r="P28" s="37">
        <f t="shared" si="0"/>
        <v>70</v>
      </c>
      <c r="Q28" s="37">
        <f t="shared" si="1"/>
        <v>126</v>
      </c>
      <c r="R28" s="37">
        <f t="shared" si="2"/>
        <v>180</v>
      </c>
      <c r="T28" s="37">
        <f>T27+IF(TRIM('💊 Medication History'!$I$27)="ACTIVE",1,0)</f>
        <v>0</v>
      </c>
    </row>
    <row r="29" spans="2:22" x14ac:dyDescent="0.25">
      <c r="B29" s="32" t="str">
        <f>TRIM('🧪 Lab Results'!$B$32)</f>
        <v>BKV PCR</v>
      </c>
      <c r="C29" s="31" t="str">
        <f>IF('🧪 Lab Results'!$C$32="","",'🧪 Lab Results'!$C$32)</f>
        <v>copies/mL</v>
      </c>
      <c r="D29" s="36"/>
      <c r="E29" s="36"/>
      <c r="F29" s="30" t="s">
        <v>502</v>
      </c>
      <c r="M29" s="37">
        <f>SUMPRODUCT(MAX(('🧪 Lab Results'!$G32:$Z32&lt;&gt;"")*COLUMN('🧪 Lab Results'!$G32:$Z32)))</f>
        <v>0</v>
      </c>
      <c r="N29" s="37">
        <f>IF(M29=0,0,SUMPRODUCT(MAX(('🧪 Lab Results'!$G32:$Z32&lt;&gt;"")*(COLUMN('🧪 Lab Results'!$G32:$Z32)&lt;M29)*COLUMN('🧪 Lab Results'!$G32:$Z32))))</f>
        <v>0</v>
      </c>
      <c r="P29" s="37">
        <f t="shared" si="0"/>
        <v>70</v>
      </c>
      <c r="Q29" s="37">
        <f t="shared" si="1"/>
        <v>126</v>
      </c>
      <c r="R29" s="37">
        <f t="shared" si="2"/>
        <v>180</v>
      </c>
      <c r="T29" s="37">
        <f>T28+IF(TRIM('💊 Medication History'!$I$28)="ACTIVE",1,0)</f>
        <v>0</v>
      </c>
    </row>
    <row r="30" spans="2:22" x14ac:dyDescent="0.25">
      <c r="B30" s="32" t="str">
        <f>TRIM('🧪 Lab Results'!$B$33)</f>
        <v>CMV PCR</v>
      </c>
      <c r="C30" s="31" t="str">
        <f>IF('🧪 Lab Results'!$C$33="","",'🧪 Lab Results'!$C$33)</f>
        <v>copies/mL</v>
      </c>
      <c r="D30" s="36"/>
      <c r="E30" s="36"/>
      <c r="F30" s="30" t="s">
        <v>502</v>
      </c>
      <c r="M30" s="37">
        <f>SUMPRODUCT(MAX(('🧪 Lab Results'!$G33:$Z33&lt;&gt;"")*COLUMN('🧪 Lab Results'!$G33:$Z33)))</f>
        <v>0</v>
      </c>
      <c r="N30" s="37">
        <f>IF(M30=0,0,SUMPRODUCT(MAX(('🧪 Lab Results'!$G33:$Z33&lt;&gt;"")*(COLUMN('🧪 Lab Results'!$G33:$Z33)&lt;M30)*COLUMN('🧪 Lab Results'!$G33:$Z33))))</f>
        <v>0</v>
      </c>
      <c r="P30" s="37">
        <f t="shared" si="0"/>
        <v>70</v>
      </c>
      <c r="Q30" s="37">
        <f t="shared" si="1"/>
        <v>126</v>
      </c>
      <c r="R30" s="37">
        <f t="shared" si="2"/>
        <v>180</v>
      </c>
      <c r="T30" s="37">
        <f>T29+IF(TRIM('💊 Medication History'!$I$29)="ACTIVE",1,0)</f>
        <v>0</v>
      </c>
    </row>
    <row r="31" spans="2:22" x14ac:dyDescent="0.25">
      <c r="B31" s="32" t="str">
        <f>TRIM('🧪 Lab Results'!$B$35)</f>
        <v>Urine RE (Protein)</v>
      </c>
      <c r="C31" s="31" t="str">
        <f>IF('🧪 Lab Results'!$C$35="","",'🧪 Lab Results'!$C$35)</f>
        <v>–</v>
      </c>
      <c r="D31" s="36"/>
      <c r="E31" s="36"/>
      <c r="F31" s="30" t="s">
        <v>502</v>
      </c>
      <c r="M31" s="37">
        <f>SUMPRODUCT(MAX(('🧪 Lab Results'!$G35:$Z35&lt;&gt;"")*COLUMN('🧪 Lab Results'!$G35:$Z35)))</f>
        <v>0</v>
      </c>
      <c r="N31" s="37">
        <f>IF(M31=0,0,SUMPRODUCT(MAX(('🧪 Lab Results'!$G35:$Z35&lt;&gt;"")*(COLUMN('🧪 Lab Results'!$G35:$Z35)&lt;M31)*COLUMN('🧪 Lab Results'!$G35:$Z35))))</f>
        <v>0</v>
      </c>
      <c r="P31" s="37">
        <f t="shared" si="0"/>
        <v>70</v>
      </c>
      <c r="Q31" s="37">
        <f t="shared" si="1"/>
        <v>126</v>
      </c>
      <c r="R31" s="37">
        <f t="shared" si="2"/>
        <v>180</v>
      </c>
      <c r="T31" s="37">
        <f>T30+IF(TRIM('💊 Medication History'!$I$30)="ACTIVE",1,0)</f>
        <v>0</v>
      </c>
    </row>
    <row r="32" spans="2:22" x14ac:dyDescent="0.25">
      <c r="B32" s="32" t="str">
        <f>TRIM('🧪 Lab Results'!$B$36)</f>
        <v>Urine RE (RBC/WBC)</v>
      </c>
      <c r="C32" s="31" t="str">
        <f>IF('🧪 Lab Results'!$C$36="","",'🧪 Lab Results'!$C$36)</f>
        <v>cells/hpf</v>
      </c>
      <c r="D32" s="36"/>
      <c r="E32" s="36"/>
      <c r="F32" s="30" t="s">
        <v>502</v>
      </c>
      <c r="M32" s="37">
        <f>SUMPRODUCT(MAX(('🧪 Lab Results'!$G36:$Z36&lt;&gt;"")*COLUMN('🧪 Lab Results'!$G36:$Z36)))</f>
        <v>0</v>
      </c>
      <c r="N32" s="37">
        <f>IF(M32=0,0,SUMPRODUCT(MAX(('🧪 Lab Results'!$G36:$Z36&lt;&gt;"")*(COLUMN('🧪 Lab Results'!$G36:$Z36)&lt;M32)*COLUMN('🧪 Lab Results'!$G36:$Z36))))</f>
        <v>0</v>
      </c>
      <c r="P32" s="37">
        <f t="shared" si="0"/>
        <v>70</v>
      </c>
      <c r="Q32" s="37">
        <f t="shared" si="1"/>
        <v>126</v>
      </c>
      <c r="R32" s="37">
        <f t="shared" si="2"/>
        <v>180</v>
      </c>
      <c r="T32" s="37">
        <f>T31+IF(TRIM('💊 Medication History'!$I$31)="ACTIVE",1,0)</f>
        <v>0</v>
      </c>
    </row>
    <row r="33" spans="2:20" x14ac:dyDescent="0.25">
      <c r="B33" s="32" t="str">
        <f>TRIM('🧪 Lab Results'!$B$37)</f>
        <v>Urine C/S</v>
      </c>
      <c r="C33" s="31" t="str">
        <f>IF('🧪 Lab Results'!$C$37="","",'🧪 Lab Results'!$C$37)</f>
        <v>–</v>
      </c>
      <c r="D33" s="36"/>
      <c r="E33" s="36"/>
      <c r="F33" s="30" t="s">
        <v>502</v>
      </c>
      <c r="M33" s="37">
        <f>SUMPRODUCT(MAX(('🧪 Lab Results'!$G37:$Z37&lt;&gt;"")*COLUMN('🧪 Lab Results'!$G37:$Z37)))</f>
        <v>0</v>
      </c>
      <c r="N33" s="37">
        <f>IF(M33=0,0,SUMPRODUCT(MAX(('🧪 Lab Results'!$G37:$Z37&lt;&gt;"")*(COLUMN('🧪 Lab Results'!$G37:$Z37)&lt;M33)*COLUMN('🧪 Lab Results'!$G37:$Z37))))</f>
        <v>0</v>
      </c>
      <c r="P33" s="37">
        <f t="shared" si="0"/>
        <v>70</v>
      </c>
      <c r="Q33" s="37">
        <f t="shared" si="1"/>
        <v>126</v>
      </c>
      <c r="R33" s="37">
        <f t="shared" si="2"/>
        <v>180</v>
      </c>
      <c r="T33" s="37">
        <f>T32+IF(TRIM('💊 Medication History'!$I$32)="ACTIVE",1,0)</f>
        <v>0</v>
      </c>
    </row>
    <row r="34" spans="2:20" x14ac:dyDescent="0.25">
      <c r="P34" s="37">
        <f t="shared" si="0"/>
        <v>70</v>
      </c>
      <c r="Q34" s="37">
        <f t="shared" si="1"/>
        <v>126</v>
      </c>
      <c r="R34" s="37">
        <f t="shared" si="2"/>
        <v>180</v>
      </c>
      <c r="T34" s="37">
        <f>T33+IF(TRIM('💊 Medication History'!$I$33)="ACTIVE",1,0)</f>
        <v>0</v>
      </c>
    </row>
    <row r="35" spans="2:20" x14ac:dyDescent="0.25">
      <c r="P35" s="37">
        <f t="shared" si="0"/>
        <v>70</v>
      </c>
      <c r="Q35" s="37">
        <f t="shared" si="1"/>
        <v>126</v>
      </c>
      <c r="R35" s="37">
        <f t="shared" si="2"/>
        <v>180</v>
      </c>
      <c r="T35" s="37">
        <f>T34+IF(TRIM('💊 Medication History'!$I$34)="ACTIVE",1,0)</f>
        <v>0</v>
      </c>
    </row>
    <row r="36" spans="2:20" x14ac:dyDescent="0.25">
      <c r="B36" s="144" t="s">
        <v>503</v>
      </c>
      <c r="C36" s="144"/>
      <c r="D36" s="144"/>
      <c r="E36" s="144"/>
      <c r="F36" s="144"/>
      <c r="P36" s="37">
        <f t="shared" si="0"/>
        <v>70</v>
      </c>
      <c r="Q36" s="37">
        <f t="shared" si="1"/>
        <v>126</v>
      </c>
      <c r="R36" s="37">
        <f t="shared" si="2"/>
        <v>180</v>
      </c>
      <c r="T36" s="37">
        <f>T35+IF(TRIM('💊 Medication History'!$I$35)="ACTIVE",1,0)</f>
        <v>0</v>
      </c>
    </row>
    <row r="37" spans="2:20" x14ac:dyDescent="0.25">
      <c r="B37" s="29" t="s">
        <v>504</v>
      </c>
      <c r="C37" s="29" t="s">
        <v>505</v>
      </c>
      <c r="D37" s="29" t="s">
        <v>506</v>
      </c>
      <c r="E37" s="29" t="s">
        <v>507</v>
      </c>
      <c r="F37" s="29" t="s">
        <v>508</v>
      </c>
      <c r="P37" s="37">
        <f t="shared" si="0"/>
        <v>70</v>
      </c>
      <c r="Q37" s="37">
        <f t="shared" si="1"/>
        <v>126</v>
      </c>
      <c r="R37" s="37">
        <f t="shared" si="2"/>
        <v>180</v>
      </c>
      <c r="T37" s="37">
        <f>T36+IF(TRIM('💊 Medication History'!$I$36)="ACTIVE",1,0)</f>
        <v>0</v>
      </c>
    </row>
    <row r="38" spans="2:20" x14ac:dyDescent="0.25">
      <c r="B38" s="32" t="str">
        <f>"Lower limit ("&amp;IF($D$6="","n/a",$D$6)&amp;")"</f>
        <v>Lower limit (0.6)</v>
      </c>
      <c r="C38" s="38">
        <f>MIN('🧪 Lab Results'!$G$4:$Z$4)</f>
        <v>0</v>
      </c>
      <c r="D38" s="38">
        <f>MAX('🧪 Lab Results'!$G$4:$Z$4)</f>
        <v>0</v>
      </c>
      <c r="E38" s="37">
        <f>IF($D$6="",NA(),$D$6)</f>
        <v>0.6</v>
      </c>
      <c r="F38" s="37">
        <f>IF($D$6="",NA(),$D$6)</f>
        <v>0.6</v>
      </c>
      <c r="P38" s="37">
        <f t="shared" ref="P38:P69" si="5">$I$5</f>
        <v>70</v>
      </c>
      <c r="Q38" s="37">
        <f t="shared" ref="Q38:Q69" si="6">$I$6</f>
        <v>126</v>
      </c>
      <c r="R38" s="37">
        <f t="shared" ref="R38:R69" si="7">$I$7</f>
        <v>180</v>
      </c>
      <c r="T38" s="37">
        <f>T37+IF(TRIM('💊 Medication History'!$I$37)="ACTIVE",1,0)</f>
        <v>0</v>
      </c>
    </row>
    <row r="39" spans="2:20" x14ac:dyDescent="0.25">
      <c r="B39" s="32" t="str">
        <f>"Upper limit ("&amp;IF($E$6="","n/a",$E$6)&amp;")"</f>
        <v>Upper limit (1.2)</v>
      </c>
      <c r="C39" s="38">
        <f>MIN('🧪 Lab Results'!$G$4:$Z$4)</f>
        <v>0</v>
      </c>
      <c r="D39" s="38">
        <f>MAX('🧪 Lab Results'!$G$4:$Z$4)</f>
        <v>0</v>
      </c>
      <c r="E39" s="37">
        <f>IF($E$6="",NA(),$E$6)</f>
        <v>1.2</v>
      </c>
      <c r="F39" s="37">
        <f>IF($E$6="",NA(),$E$6)</f>
        <v>1.2</v>
      </c>
      <c r="P39" s="37">
        <f t="shared" si="5"/>
        <v>70</v>
      </c>
      <c r="Q39" s="37">
        <f t="shared" si="6"/>
        <v>126</v>
      </c>
      <c r="R39" s="37">
        <f t="shared" si="7"/>
        <v>180</v>
      </c>
      <c r="T39" s="37">
        <f>T38+IF(TRIM('💊 Medication History'!$I$38)="ACTIVE",1,0)</f>
        <v>0</v>
      </c>
    </row>
    <row r="40" spans="2:20" x14ac:dyDescent="0.25">
      <c r="B40" s="32" t="str">
        <f>"Target minimum ("&amp;IF($D$7="","n/a",$D$7)&amp;")"</f>
        <v>Target minimum (45)</v>
      </c>
      <c r="C40" s="38">
        <f>MIN('🧪 Lab Results'!$G$4:$Z$4)</f>
        <v>0</v>
      </c>
      <c r="D40" s="38">
        <f>MAX('🧪 Lab Results'!$G$4:$Z$4)</f>
        <v>0</v>
      </c>
      <c r="E40" s="37">
        <f>IF($D$7="",NA(),$D$7)</f>
        <v>45</v>
      </c>
      <c r="F40" s="37">
        <f>IF($D$7="",NA(),$D$7)</f>
        <v>45</v>
      </c>
      <c r="P40" s="37">
        <f t="shared" si="5"/>
        <v>70</v>
      </c>
      <c r="Q40" s="37">
        <f t="shared" si="6"/>
        <v>126</v>
      </c>
      <c r="R40" s="37">
        <f t="shared" si="7"/>
        <v>180</v>
      </c>
      <c r="T40" s="37">
        <f>T39+IF(TRIM('💊 Medication History'!$I$39)="ACTIVE",1,0)</f>
        <v>0</v>
      </c>
    </row>
    <row r="41" spans="2:20" x14ac:dyDescent="0.25">
      <c r="B41" s="32" t="str">
        <f>"Lower limit ("&amp;IF($D$8="","n/a",$D$8)&amp;")"</f>
        <v>Lower limit (5)</v>
      </c>
      <c r="C41" s="38">
        <f>MIN('🧪 Lab Results'!$G$4:$Z$4)</f>
        <v>0</v>
      </c>
      <c r="D41" s="38">
        <f>MAX('🧪 Lab Results'!$G$4:$Z$4)</f>
        <v>0</v>
      </c>
      <c r="E41" s="37">
        <f>IF($D$8="",NA(),$D$8)</f>
        <v>5</v>
      </c>
      <c r="F41" s="37">
        <f>IF($D$8="",NA(),$D$8)</f>
        <v>5</v>
      </c>
      <c r="P41" s="37">
        <f t="shared" si="5"/>
        <v>70</v>
      </c>
      <c r="Q41" s="37">
        <f t="shared" si="6"/>
        <v>126</v>
      </c>
      <c r="R41" s="37">
        <f t="shared" si="7"/>
        <v>180</v>
      </c>
      <c r="T41" s="37">
        <f>T40+IF(TRIM('💊 Medication History'!$I$40)="ACTIVE",1,0)</f>
        <v>0</v>
      </c>
    </row>
    <row r="42" spans="2:20" x14ac:dyDescent="0.25">
      <c r="B42" s="32" t="str">
        <f>"Upper limit ("&amp;IF($E$8="","n/a",$E$8)&amp;")"</f>
        <v>Upper limit (12)</v>
      </c>
      <c r="C42" s="38">
        <f>MIN('🧪 Lab Results'!$G$4:$Z$4)</f>
        <v>0</v>
      </c>
      <c r="D42" s="38">
        <f>MAX('🧪 Lab Results'!$G$4:$Z$4)</f>
        <v>0</v>
      </c>
      <c r="E42" s="37">
        <f>IF($E$8="",NA(),$E$8)</f>
        <v>12</v>
      </c>
      <c r="F42" s="37">
        <f>IF($E$8="",NA(),$E$8)</f>
        <v>12</v>
      </c>
      <c r="P42" s="37">
        <f t="shared" si="5"/>
        <v>70</v>
      </c>
      <c r="Q42" s="37">
        <f t="shared" si="6"/>
        <v>126</v>
      </c>
      <c r="R42" s="37">
        <f t="shared" si="7"/>
        <v>180</v>
      </c>
      <c r="T42" s="37">
        <f>T41+IF(TRIM('💊 Medication History'!$I$41)="ACTIVE",1,0)</f>
        <v>0</v>
      </c>
    </row>
    <row r="43" spans="2:20" x14ac:dyDescent="0.25">
      <c r="P43" s="37">
        <f t="shared" si="5"/>
        <v>70</v>
      </c>
      <c r="Q43" s="37">
        <f t="shared" si="6"/>
        <v>126</v>
      </c>
      <c r="R43" s="37">
        <f t="shared" si="7"/>
        <v>180</v>
      </c>
      <c r="T43" s="37">
        <f>T42+IF(TRIM('💊 Medication History'!$I$42)="ACTIVE",1,0)</f>
        <v>0</v>
      </c>
    </row>
    <row r="44" spans="2:20" x14ac:dyDescent="0.25">
      <c r="P44" s="37">
        <f t="shared" si="5"/>
        <v>70</v>
      </c>
      <c r="Q44" s="37">
        <f t="shared" si="6"/>
        <v>126</v>
      </c>
      <c r="R44" s="37">
        <f t="shared" si="7"/>
        <v>180</v>
      </c>
      <c r="T44" s="37">
        <f>T43+IF(TRIM('💊 Medication History'!$I$43)="ACTIVE",1,0)</f>
        <v>0</v>
      </c>
    </row>
    <row r="45" spans="2:20" x14ac:dyDescent="0.25">
      <c r="P45" s="37">
        <f t="shared" si="5"/>
        <v>70</v>
      </c>
      <c r="Q45" s="37">
        <f t="shared" si="6"/>
        <v>126</v>
      </c>
      <c r="R45" s="37">
        <f t="shared" si="7"/>
        <v>180</v>
      </c>
      <c r="T45" s="37">
        <f>T44+IF(TRIM('💊 Medication History'!$I$44)="ACTIVE",1,0)</f>
        <v>0</v>
      </c>
    </row>
    <row r="46" spans="2:20" x14ac:dyDescent="0.25">
      <c r="P46" s="37">
        <f t="shared" si="5"/>
        <v>70</v>
      </c>
      <c r="Q46" s="37">
        <f t="shared" si="6"/>
        <v>126</v>
      </c>
      <c r="R46" s="37">
        <f t="shared" si="7"/>
        <v>180</v>
      </c>
      <c r="T46" s="37">
        <f>T45+IF(TRIM('💊 Medication History'!$I$45)="ACTIVE",1,0)</f>
        <v>0</v>
      </c>
    </row>
    <row r="47" spans="2:20" x14ac:dyDescent="0.25">
      <c r="P47" s="37">
        <f t="shared" si="5"/>
        <v>70</v>
      </c>
      <c r="Q47" s="37">
        <f t="shared" si="6"/>
        <v>126</v>
      </c>
      <c r="R47" s="37">
        <f t="shared" si="7"/>
        <v>180</v>
      </c>
      <c r="T47" s="37">
        <f>T46+IF(TRIM('💊 Medication History'!$I$46)="ACTIVE",1,0)</f>
        <v>0</v>
      </c>
    </row>
    <row r="48" spans="2:20" x14ac:dyDescent="0.25">
      <c r="P48" s="37">
        <f t="shared" si="5"/>
        <v>70</v>
      </c>
      <c r="Q48" s="37">
        <f t="shared" si="6"/>
        <v>126</v>
      </c>
      <c r="R48" s="37">
        <f t="shared" si="7"/>
        <v>180</v>
      </c>
      <c r="T48" s="37">
        <f>T47+IF(TRIM('💊 Medication History'!$I$47)="ACTIVE",1,0)</f>
        <v>0</v>
      </c>
    </row>
    <row r="49" spans="16:20" x14ac:dyDescent="0.25">
      <c r="P49" s="37">
        <f t="shared" si="5"/>
        <v>70</v>
      </c>
      <c r="Q49" s="37">
        <f t="shared" si="6"/>
        <v>126</v>
      </c>
      <c r="R49" s="37">
        <f t="shared" si="7"/>
        <v>180</v>
      </c>
      <c r="T49" s="37">
        <f>T48+IF(TRIM('💊 Medication History'!$I$48)="ACTIVE",1,0)</f>
        <v>0</v>
      </c>
    </row>
    <row r="50" spans="16:20" x14ac:dyDescent="0.25">
      <c r="P50" s="37">
        <f t="shared" si="5"/>
        <v>70</v>
      </c>
      <c r="Q50" s="37">
        <f t="shared" si="6"/>
        <v>126</v>
      </c>
      <c r="R50" s="37">
        <f t="shared" si="7"/>
        <v>180</v>
      </c>
      <c r="T50" s="37">
        <f>T49+IF(TRIM('💊 Medication History'!$I$49)="ACTIVE",1,0)</f>
        <v>0</v>
      </c>
    </row>
    <row r="51" spans="16:20" x14ac:dyDescent="0.25">
      <c r="P51" s="37">
        <f t="shared" si="5"/>
        <v>70</v>
      </c>
      <c r="Q51" s="37">
        <f t="shared" si="6"/>
        <v>126</v>
      </c>
      <c r="R51" s="37">
        <f t="shared" si="7"/>
        <v>180</v>
      </c>
      <c r="T51" s="37">
        <f>T50+IF(TRIM('💊 Medication History'!$I$50)="ACTIVE",1,0)</f>
        <v>0</v>
      </c>
    </row>
    <row r="52" spans="16:20" x14ac:dyDescent="0.25">
      <c r="P52" s="37">
        <f t="shared" si="5"/>
        <v>70</v>
      </c>
      <c r="Q52" s="37">
        <f t="shared" si="6"/>
        <v>126</v>
      </c>
      <c r="R52" s="37">
        <f t="shared" si="7"/>
        <v>180</v>
      </c>
      <c r="T52" s="37">
        <f>T51+IF(TRIM('💊 Medication History'!$I$51)="ACTIVE",1,0)</f>
        <v>0</v>
      </c>
    </row>
    <row r="53" spans="16:20" x14ac:dyDescent="0.25">
      <c r="P53" s="37">
        <f t="shared" si="5"/>
        <v>70</v>
      </c>
      <c r="Q53" s="37">
        <f t="shared" si="6"/>
        <v>126</v>
      </c>
      <c r="R53" s="37">
        <f t="shared" si="7"/>
        <v>180</v>
      </c>
      <c r="T53" s="37">
        <f>T52+IF(TRIM('💊 Medication History'!$I$52)="ACTIVE",1,0)</f>
        <v>0</v>
      </c>
    </row>
    <row r="54" spans="16:20" x14ac:dyDescent="0.25">
      <c r="P54" s="37">
        <f t="shared" si="5"/>
        <v>70</v>
      </c>
      <c r="Q54" s="37">
        <f t="shared" si="6"/>
        <v>126</v>
      </c>
      <c r="R54" s="37">
        <f t="shared" si="7"/>
        <v>180</v>
      </c>
      <c r="T54" s="37">
        <f>T53+IF(TRIM('💊 Medication History'!$I$53)="ACTIVE",1,0)</f>
        <v>0</v>
      </c>
    </row>
    <row r="55" spans="16:20" x14ac:dyDescent="0.25">
      <c r="P55" s="37">
        <f t="shared" si="5"/>
        <v>70</v>
      </c>
      <c r="Q55" s="37">
        <f t="shared" si="6"/>
        <v>126</v>
      </c>
      <c r="R55" s="37">
        <f t="shared" si="7"/>
        <v>180</v>
      </c>
      <c r="T55" s="37">
        <f>T54+IF(TRIM('💊 Medication History'!$I$54)="ACTIVE",1,0)</f>
        <v>0</v>
      </c>
    </row>
    <row r="56" spans="16:20" x14ac:dyDescent="0.25">
      <c r="P56" s="37">
        <f t="shared" si="5"/>
        <v>70</v>
      </c>
      <c r="Q56" s="37">
        <f t="shared" si="6"/>
        <v>126</v>
      </c>
      <c r="R56" s="37">
        <f t="shared" si="7"/>
        <v>180</v>
      </c>
      <c r="T56" s="37">
        <f>T55+IF(TRIM('💊 Medication History'!$I$55)="ACTIVE",1,0)</f>
        <v>0</v>
      </c>
    </row>
    <row r="57" spans="16:20" x14ac:dyDescent="0.25">
      <c r="P57" s="37">
        <f t="shared" si="5"/>
        <v>70</v>
      </c>
      <c r="Q57" s="37">
        <f t="shared" si="6"/>
        <v>126</v>
      </c>
      <c r="R57" s="37">
        <f t="shared" si="7"/>
        <v>180</v>
      </c>
      <c r="T57" s="37">
        <f>T56+IF(TRIM('💊 Medication History'!$I$56)="ACTIVE",1,0)</f>
        <v>0</v>
      </c>
    </row>
    <row r="58" spans="16:20" x14ac:dyDescent="0.25">
      <c r="P58" s="37">
        <f t="shared" si="5"/>
        <v>70</v>
      </c>
      <c r="Q58" s="37">
        <f t="shared" si="6"/>
        <v>126</v>
      </c>
      <c r="R58" s="37">
        <f t="shared" si="7"/>
        <v>180</v>
      </c>
      <c r="T58" s="37">
        <f>T57+IF(TRIM('💊 Medication History'!$I$57)="ACTIVE",1,0)</f>
        <v>0</v>
      </c>
    </row>
    <row r="59" spans="16:20" x14ac:dyDescent="0.25">
      <c r="P59" s="37">
        <f t="shared" si="5"/>
        <v>70</v>
      </c>
      <c r="Q59" s="37">
        <f t="shared" si="6"/>
        <v>126</v>
      </c>
      <c r="R59" s="37">
        <f t="shared" si="7"/>
        <v>180</v>
      </c>
      <c r="T59" s="37">
        <f>T58+IF(TRIM('💊 Medication History'!$I$58)="ACTIVE",1,0)</f>
        <v>0</v>
      </c>
    </row>
    <row r="60" spans="16:20" x14ac:dyDescent="0.25">
      <c r="P60" s="37">
        <f t="shared" si="5"/>
        <v>70</v>
      </c>
      <c r="Q60" s="37">
        <f t="shared" si="6"/>
        <v>126</v>
      </c>
      <c r="R60" s="37">
        <f t="shared" si="7"/>
        <v>180</v>
      </c>
      <c r="T60" s="37">
        <f>T59+IF(TRIM('💊 Medication History'!$I$59)="ACTIVE",1,0)</f>
        <v>0</v>
      </c>
    </row>
    <row r="61" spans="16:20" x14ac:dyDescent="0.25">
      <c r="P61" s="37">
        <f t="shared" si="5"/>
        <v>70</v>
      </c>
      <c r="Q61" s="37">
        <f t="shared" si="6"/>
        <v>126</v>
      </c>
      <c r="R61" s="37">
        <f t="shared" si="7"/>
        <v>180</v>
      </c>
      <c r="T61" s="37">
        <f>T60+IF(TRIM('💊 Medication History'!$I$60)="ACTIVE",1,0)</f>
        <v>0</v>
      </c>
    </row>
    <row r="62" spans="16:20" x14ac:dyDescent="0.25">
      <c r="P62" s="37">
        <f t="shared" si="5"/>
        <v>70</v>
      </c>
      <c r="Q62" s="37">
        <f t="shared" si="6"/>
        <v>126</v>
      </c>
      <c r="R62" s="37">
        <f t="shared" si="7"/>
        <v>180</v>
      </c>
      <c r="T62" s="37">
        <f>T61+IF(TRIM('💊 Medication History'!$I$61)="ACTIVE",1,0)</f>
        <v>0</v>
      </c>
    </row>
    <row r="63" spans="16:20" x14ac:dyDescent="0.25">
      <c r="P63" s="37">
        <f t="shared" si="5"/>
        <v>70</v>
      </c>
      <c r="Q63" s="37">
        <f t="shared" si="6"/>
        <v>126</v>
      </c>
      <c r="R63" s="37">
        <f t="shared" si="7"/>
        <v>180</v>
      </c>
      <c r="T63" s="37">
        <f>T62+IF(TRIM('💊 Medication History'!$I$62)="ACTIVE",1,0)</f>
        <v>0</v>
      </c>
    </row>
    <row r="64" spans="16:20" x14ac:dyDescent="0.25">
      <c r="P64" s="37">
        <f t="shared" si="5"/>
        <v>70</v>
      </c>
      <c r="Q64" s="37">
        <f t="shared" si="6"/>
        <v>126</v>
      </c>
      <c r="R64" s="37">
        <f t="shared" si="7"/>
        <v>180</v>
      </c>
      <c r="T64" s="37">
        <f>T63+IF(TRIM('💊 Medication History'!$I$63)="ACTIVE",1,0)</f>
        <v>0</v>
      </c>
    </row>
    <row r="65" spans="16:20" x14ac:dyDescent="0.25">
      <c r="P65" s="37">
        <f t="shared" si="5"/>
        <v>70</v>
      </c>
      <c r="Q65" s="37">
        <f t="shared" si="6"/>
        <v>126</v>
      </c>
      <c r="R65" s="37">
        <f t="shared" si="7"/>
        <v>180</v>
      </c>
      <c r="T65" s="37">
        <f>T64+IF(TRIM('💊 Medication History'!$I$64)="ACTIVE",1,0)</f>
        <v>0</v>
      </c>
    </row>
    <row r="66" spans="16:20" x14ac:dyDescent="0.25">
      <c r="P66" s="37">
        <f t="shared" si="5"/>
        <v>70</v>
      </c>
      <c r="Q66" s="37">
        <f t="shared" si="6"/>
        <v>126</v>
      </c>
      <c r="R66" s="37">
        <f t="shared" si="7"/>
        <v>180</v>
      </c>
      <c r="T66" s="37">
        <f>T65+IF(TRIM('💊 Medication History'!$I$65)="ACTIVE",1,0)</f>
        <v>0</v>
      </c>
    </row>
    <row r="67" spans="16:20" x14ac:dyDescent="0.25">
      <c r="P67" s="37">
        <f t="shared" si="5"/>
        <v>70</v>
      </c>
      <c r="Q67" s="37">
        <f t="shared" si="6"/>
        <v>126</v>
      </c>
      <c r="R67" s="37">
        <f t="shared" si="7"/>
        <v>180</v>
      </c>
      <c r="T67" s="37">
        <f>T66+IF(TRIM('💊 Medication History'!$I$66)="ACTIVE",1,0)</f>
        <v>0</v>
      </c>
    </row>
    <row r="68" spans="16:20" x14ac:dyDescent="0.25">
      <c r="P68" s="37">
        <f t="shared" si="5"/>
        <v>70</v>
      </c>
      <c r="Q68" s="37">
        <f t="shared" si="6"/>
        <v>126</v>
      </c>
      <c r="R68" s="37">
        <f t="shared" si="7"/>
        <v>180</v>
      </c>
      <c r="T68" s="37">
        <f>T67+IF(TRIM('💊 Medication History'!$I$67)="ACTIVE",1,0)</f>
        <v>0</v>
      </c>
    </row>
    <row r="69" spans="16:20" x14ac:dyDescent="0.25">
      <c r="P69" s="37">
        <f t="shared" si="5"/>
        <v>70</v>
      </c>
      <c r="Q69" s="37">
        <f t="shared" si="6"/>
        <v>126</v>
      </c>
      <c r="R69" s="37">
        <f t="shared" si="7"/>
        <v>180</v>
      </c>
      <c r="T69" s="37">
        <f>T68+IF(TRIM('💊 Medication History'!$I$68)="ACTIVE",1,0)</f>
        <v>0</v>
      </c>
    </row>
    <row r="70" spans="16:20" x14ac:dyDescent="0.25">
      <c r="P70" s="37">
        <f t="shared" ref="P70:P100" si="8">$I$5</f>
        <v>70</v>
      </c>
      <c r="Q70" s="37">
        <f t="shared" ref="Q70:Q100" si="9">$I$6</f>
        <v>126</v>
      </c>
      <c r="R70" s="37">
        <f t="shared" ref="R70:R100" si="10">$I$7</f>
        <v>180</v>
      </c>
      <c r="T70" s="37">
        <f>T69+IF(TRIM('💊 Medication History'!$I$69)="ACTIVE",1,0)</f>
        <v>0</v>
      </c>
    </row>
    <row r="71" spans="16:20" x14ac:dyDescent="0.25">
      <c r="P71" s="37">
        <f t="shared" si="8"/>
        <v>70</v>
      </c>
      <c r="Q71" s="37">
        <f t="shared" si="9"/>
        <v>126</v>
      </c>
      <c r="R71" s="37">
        <f t="shared" si="10"/>
        <v>180</v>
      </c>
      <c r="T71" s="37">
        <f>T70+IF(TRIM('💊 Medication History'!$I$70)="ACTIVE",1,0)</f>
        <v>0</v>
      </c>
    </row>
    <row r="72" spans="16:20" x14ac:dyDescent="0.25">
      <c r="P72" s="37">
        <f t="shared" si="8"/>
        <v>70</v>
      </c>
      <c r="Q72" s="37">
        <f t="shared" si="9"/>
        <v>126</v>
      </c>
      <c r="R72" s="37">
        <f t="shared" si="10"/>
        <v>180</v>
      </c>
      <c r="T72" s="37">
        <f>T71+IF(TRIM('💊 Medication History'!$I$71)="ACTIVE",1,0)</f>
        <v>0</v>
      </c>
    </row>
    <row r="73" spans="16:20" x14ac:dyDescent="0.25">
      <c r="P73" s="37">
        <f t="shared" si="8"/>
        <v>70</v>
      </c>
      <c r="Q73" s="37">
        <f t="shared" si="9"/>
        <v>126</v>
      </c>
      <c r="R73" s="37">
        <f t="shared" si="10"/>
        <v>180</v>
      </c>
      <c r="T73" s="37">
        <f>T72+IF(TRIM('💊 Medication History'!$I$72)="ACTIVE",1,0)</f>
        <v>0</v>
      </c>
    </row>
    <row r="74" spans="16:20" x14ac:dyDescent="0.25">
      <c r="P74" s="37">
        <f t="shared" si="8"/>
        <v>70</v>
      </c>
      <c r="Q74" s="37">
        <f t="shared" si="9"/>
        <v>126</v>
      </c>
      <c r="R74" s="37">
        <f t="shared" si="10"/>
        <v>180</v>
      </c>
      <c r="T74" s="37">
        <f>T73+IF(TRIM('💊 Medication History'!$I$73)="ACTIVE",1,0)</f>
        <v>0</v>
      </c>
    </row>
    <row r="75" spans="16:20" x14ac:dyDescent="0.25">
      <c r="P75" s="37">
        <f t="shared" si="8"/>
        <v>70</v>
      </c>
      <c r="Q75" s="37">
        <f t="shared" si="9"/>
        <v>126</v>
      </c>
      <c r="R75" s="37">
        <f t="shared" si="10"/>
        <v>180</v>
      </c>
      <c r="T75" s="37">
        <f>T74+IF(TRIM('💊 Medication History'!$I$74)="ACTIVE",1,0)</f>
        <v>0</v>
      </c>
    </row>
    <row r="76" spans="16:20" x14ac:dyDescent="0.25">
      <c r="P76" s="37">
        <f t="shared" si="8"/>
        <v>70</v>
      </c>
      <c r="Q76" s="37">
        <f t="shared" si="9"/>
        <v>126</v>
      </c>
      <c r="R76" s="37">
        <f t="shared" si="10"/>
        <v>180</v>
      </c>
      <c r="T76" s="37">
        <f>T75+IF(TRIM('💊 Medication History'!$I$75)="ACTIVE",1,0)</f>
        <v>0</v>
      </c>
    </row>
    <row r="77" spans="16:20" x14ac:dyDescent="0.25">
      <c r="P77" s="37">
        <f t="shared" si="8"/>
        <v>70</v>
      </c>
      <c r="Q77" s="37">
        <f t="shared" si="9"/>
        <v>126</v>
      </c>
      <c r="R77" s="37">
        <f t="shared" si="10"/>
        <v>180</v>
      </c>
      <c r="T77" s="37">
        <f>T76+IF(TRIM('💊 Medication History'!$I$76)="ACTIVE",1,0)</f>
        <v>0</v>
      </c>
    </row>
    <row r="78" spans="16:20" x14ac:dyDescent="0.25">
      <c r="P78" s="37">
        <f t="shared" si="8"/>
        <v>70</v>
      </c>
      <c r="Q78" s="37">
        <f t="shared" si="9"/>
        <v>126</v>
      </c>
      <c r="R78" s="37">
        <f t="shared" si="10"/>
        <v>180</v>
      </c>
      <c r="T78" s="37">
        <f>T77+IF(TRIM('💊 Medication History'!$I$77)="ACTIVE",1,0)</f>
        <v>0</v>
      </c>
    </row>
    <row r="79" spans="16:20" x14ac:dyDescent="0.25">
      <c r="P79" s="37">
        <f t="shared" si="8"/>
        <v>70</v>
      </c>
      <c r="Q79" s="37">
        <f t="shared" si="9"/>
        <v>126</v>
      </c>
      <c r="R79" s="37">
        <f t="shared" si="10"/>
        <v>180</v>
      </c>
      <c r="T79" s="37">
        <f>T78+IF(TRIM('💊 Medication History'!$I$78)="ACTIVE",1,0)</f>
        <v>0</v>
      </c>
    </row>
    <row r="80" spans="16:20" x14ac:dyDescent="0.25">
      <c r="P80" s="37">
        <f t="shared" si="8"/>
        <v>70</v>
      </c>
      <c r="Q80" s="37">
        <f t="shared" si="9"/>
        <v>126</v>
      </c>
      <c r="R80" s="37">
        <f t="shared" si="10"/>
        <v>180</v>
      </c>
      <c r="T80" s="37">
        <f>T79+IF(TRIM('💊 Medication History'!$I$79)="ACTIVE",1,0)</f>
        <v>0</v>
      </c>
    </row>
    <row r="81" spans="16:20" x14ac:dyDescent="0.25">
      <c r="P81" s="37">
        <f t="shared" si="8"/>
        <v>70</v>
      </c>
      <c r="Q81" s="37">
        <f t="shared" si="9"/>
        <v>126</v>
      </c>
      <c r="R81" s="37">
        <f t="shared" si="10"/>
        <v>180</v>
      </c>
      <c r="T81" s="37">
        <f>T80+IF(TRIM('💊 Medication History'!$I$80)="ACTIVE",1,0)</f>
        <v>0</v>
      </c>
    </row>
    <row r="82" spans="16:20" x14ac:dyDescent="0.25">
      <c r="P82" s="37">
        <f t="shared" si="8"/>
        <v>70</v>
      </c>
      <c r="Q82" s="37">
        <f t="shared" si="9"/>
        <v>126</v>
      </c>
      <c r="R82" s="37">
        <f t="shared" si="10"/>
        <v>180</v>
      </c>
      <c r="T82" s="37">
        <f>T81+IF(TRIM('💊 Medication History'!$I$81)="ACTIVE",1,0)</f>
        <v>0</v>
      </c>
    </row>
    <row r="83" spans="16:20" x14ac:dyDescent="0.25">
      <c r="P83" s="37">
        <f t="shared" si="8"/>
        <v>70</v>
      </c>
      <c r="Q83" s="37">
        <f t="shared" si="9"/>
        <v>126</v>
      </c>
      <c r="R83" s="37">
        <f t="shared" si="10"/>
        <v>180</v>
      </c>
      <c r="T83" s="37">
        <f>T82+IF(TRIM('💊 Medication History'!$I$82)="ACTIVE",1,0)</f>
        <v>0</v>
      </c>
    </row>
    <row r="84" spans="16:20" x14ac:dyDescent="0.25">
      <c r="P84" s="37">
        <f t="shared" si="8"/>
        <v>70</v>
      </c>
      <c r="Q84" s="37">
        <f t="shared" si="9"/>
        <v>126</v>
      </c>
      <c r="R84" s="37">
        <f t="shared" si="10"/>
        <v>180</v>
      </c>
      <c r="T84" s="37">
        <f>T83+IF(TRIM('💊 Medication History'!$I$83)="ACTIVE",1,0)</f>
        <v>0</v>
      </c>
    </row>
    <row r="85" spans="16:20" x14ac:dyDescent="0.25">
      <c r="P85" s="37">
        <f t="shared" si="8"/>
        <v>70</v>
      </c>
      <c r="Q85" s="37">
        <f t="shared" si="9"/>
        <v>126</v>
      </c>
      <c r="R85" s="37">
        <f t="shared" si="10"/>
        <v>180</v>
      </c>
      <c r="T85" s="37">
        <f>T84+IF(TRIM('💊 Medication History'!$I$84)="ACTIVE",1,0)</f>
        <v>0</v>
      </c>
    </row>
    <row r="86" spans="16:20" x14ac:dyDescent="0.25">
      <c r="P86" s="37">
        <f t="shared" si="8"/>
        <v>70</v>
      </c>
      <c r="Q86" s="37">
        <f t="shared" si="9"/>
        <v>126</v>
      </c>
      <c r="R86" s="37">
        <f t="shared" si="10"/>
        <v>180</v>
      </c>
      <c r="T86" s="37">
        <f>T85+IF(TRIM('💊 Medication History'!$I$85)="ACTIVE",1,0)</f>
        <v>0</v>
      </c>
    </row>
    <row r="87" spans="16:20" x14ac:dyDescent="0.25">
      <c r="P87" s="37">
        <f t="shared" si="8"/>
        <v>70</v>
      </c>
      <c r="Q87" s="37">
        <f t="shared" si="9"/>
        <v>126</v>
      </c>
      <c r="R87" s="37">
        <f t="shared" si="10"/>
        <v>180</v>
      </c>
      <c r="T87" s="37">
        <f>T86+IF(TRIM('💊 Medication History'!$I$86)="ACTIVE",1,0)</f>
        <v>0</v>
      </c>
    </row>
    <row r="88" spans="16:20" x14ac:dyDescent="0.25">
      <c r="P88" s="37">
        <f t="shared" si="8"/>
        <v>70</v>
      </c>
      <c r="Q88" s="37">
        <f t="shared" si="9"/>
        <v>126</v>
      </c>
      <c r="R88" s="37">
        <f t="shared" si="10"/>
        <v>180</v>
      </c>
      <c r="T88" s="37">
        <f>T87+IF(TRIM('💊 Medication History'!$I$87)="ACTIVE",1,0)</f>
        <v>0</v>
      </c>
    </row>
    <row r="89" spans="16:20" x14ac:dyDescent="0.25">
      <c r="P89" s="37">
        <f t="shared" si="8"/>
        <v>70</v>
      </c>
      <c r="Q89" s="37">
        <f t="shared" si="9"/>
        <v>126</v>
      </c>
      <c r="R89" s="37">
        <f t="shared" si="10"/>
        <v>180</v>
      </c>
      <c r="T89" s="37">
        <f>T88+IF(TRIM('💊 Medication History'!$I$88)="ACTIVE",1,0)</f>
        <v>0</v>
      </c>
    </row>
    <row r="90" spans="16:20" x14ac:dyDescent="0.25">
      <c r="P90" s="37">
        <f t="shared" si="8"/>
        <v>70</v>
      </c>
      <c r="Q90" s="37">
        <f t="shared" si="9"/>
        <v>126</v>
      </c>
      <c r="R90" s="37">
        <f t="shared" si="10"/>
        <v>180</v>
      </c>
      <c r="T90" s="37">
        <f>T89+IF(TRIM('💊 Medication History'!$I$89)="ACTIVE",1,0)</f>
        <v>0</v>
      </c>
    </row>
    <row r="91" spans="16:20" x14ac:dyDescent="0.25">
      <c r="P91" s="37">
        <f t="shared" si="8"/>
        <v>70</v>
      </c>
      <c r="Q91" s="37">
        <f t="shared" si="9"/>
        <v>126</v>
      </c>
      <c r="R91" s="37">
        <f t="shared" si="10"/>
        <v>180</v>
      </c>
      <c r="T91" s="37">
        <f>T90+IF(TRIM('💊 Medication History'!$I$90)="ACTIVE",1,0)</f>
        <v>0</v>
      </c>
    </row>
    <row r="92" spans="16:20" x14ac:dyDescent="0.25">
      <c r="P92" s="37">
        <f t="shared" si="8"/>
        <v>70</v>
      </c>
      <c r="Q92" s="37">
        <f t="shared" si="9"/>
        <v>126</v>
      </c>
      <c r="R92" s="37">
        <f t="shared" si="10"/>
        <v>180</v>
      </c>
      <c r="T92" s="37">
        <f>T91+IF(TRIM('💊 Medication History'!$I$91)="ACTIVE",1,0)</f>
        <v>0</v>
      </c>
    </row>
    <row r="93" spans="16:20" x14ac:dyDescent="0.25">
      <c r="P93" s="37">
        <f t="shared" si="8"/>
        <v>70</v>
      </c>
      <c r="Q93" s="37">
        <f t="shared" si="9"/>
        <v>126</v>
      </c>
      <c r="R93" s="37">
        <f t="shared" si="10"/>
        <v>180</v>
      </c>
      <c r="T93" s="37">
        <f>T92+IF(TRIM('💊 Medication History'!$I$92)="ACTIVE",1,0)</f>
        <v>0</v>
      </c>
    </row>
    <row r="94" spans="16:20" x14ac:dyDescent="0.25">
      <c r="P94" s="37">
        <f t="shared" si="8"/>
        <v>70</v>
      </c>
      <c r="Q94" s="37">
        <f t="shared" si="9"/>
        <v>126</v>
      </c>
      <c r="R94" s="37">
        <f t="shared" si="10"/>
        <v>180</v>
      </c>
      <c r="T94" s="37">
        <f>T93+IF(TRIM('💊 Medication History'!$I$93)="ACTIVE",1,0)</f>
        <v>0</v>
      </c>
    </row>
    <row r="95" spans="16:20" x14ac:dyDescent="0.25">
      <c r="P95" s="37">
        <f t="shared" si="8"/>
        <v>70</v>
      </c>
      <c r="Q95" s="37">
        <f t="shared" si="9"/>
        <v>126</v>
      </c>
      <c r="R95" s="37">
        <f t="shared" si="10"/>
        <v>180</v>
      </c>
      <c r="T95" s="37">
        <f>T94+IF(TRIM('💊 Medication History'!$I$94)="ACTIVE",1,0)</f>
        <v>0</v>
      </c>
    </row>
    <row r="96" spans="16:20" x14ac:dyDescent="0.25">
      <c r="P96" s="37">
        <f t="shared" si="8"/>
        <v>70</v>
      </c>
      <c r="Q96" s="37">
        <f t="shared" si="9"/>
        <v>126</v>
      </c>
      <c r="R96" s="37">
        <f t="shared" si="10"/>
        <v>180</v>
      </c>
      <c r="T96" s="37">
        <f>T95+IF(TRIM('💊 Medication History'!$I$95)="ACTIVE",1,0)</f>
        <v>0</v>
      </c>
    </row>
    <row r="97" spans="16:20" x14ac:dyDescent="0.25">
      <c r="P97" s="37">
        <f t="shared" si="8"/>
        <v>70</v>
      </c>
      <c r="Q97" s="37">
        <f t="shared" si="9"/>
        <v>126</v>
      </c>
      <c r="R97" s="37">
        <f t="shared" si="10"/>
        <v>180</v>
      </c>
      <c r="T97" s="37">
        <f>T96+IF(TRIM('💊 Medication History'!$I$96)="ACTIVE",1,0)</f>
        <v>0</v>
      </c>
    </row>
    <row r="98" spans="16:20" x14ac:dyDescent="0.25">
      <c r="P98" s="37">
        <f t="shared" si="8"/>
        <v>70</v>
      </c>
      <c r="Q98" s="37">
        <f t="shared" si="9"/>
        <v>126</v>
      </c>
      <c r="R98" s="37">
        <f t="shared" si="10"/>
        <v>180</v>
      </c>
      <c r="T98" s="37">
        <f>T97+IF(TRIM('💊 Medication History'!$I$97)="ACTIVE",1,0)</f>
        <v>0</v>
      </c>
    </row>
    <row r="99" spans="16:20" x14ac:dyDescent="0.25">
      <c r="P99" s="37">
        <f t="shared" si="8"/>
        <v>70</v>
      </c>
      <c r="Q99" s="37">
        <f t="shared" si="9"/>
        <v>126</v>
      </c>
      <c r="R99" s="37">
        <f t="shared" si="10"/>
        <v>180</v>
      </c>
      <c r="T99" s="37">
        <f>T98+IF(TRIM('💊 Medication History'!$I$98)="ACTIVE",1,0)</f>
        <v>0</v>
      </c>
    </row>
    <row r="100" spans="16:20" x14ac:dyDescent="0.25">
      <c r="P100" s="37">
        <f t="shared" si="8"/>
        <v>70</v>
      </c>
      <c r="Q100" s="37">
        <f t="shared" si="9"/>
        <v>126</v>
      </c>
      <c r="R100" s="37">
        <f t="shared" si="10"/>
        <v>180</v>
      </c>
      <c r="T100" s="37">
        <f>T99+IF(TRIM('💊 Medication History'!$I$99)="ACTIVE",1,0)</f>
        <v>0</v>
      </c>
    </row>
    <row r="101" spans="16:20" x14ac:dyDescent="0.25">
      <c r="T101" s="37">
        <f>T100+IF(TRIM('💊 Medication History'!$I$100)="ACTIVE",1,0)</f>
        <v>0</v>
      </c>
    </row>
    <row r="102" spans="16:20" x14ac:dyDescent="0.25">
      <c r="T102" s="37">
        <f>T101+IF(TRIM('💊 Medication History'!$I$101)="ACTIVE",1,0)</f>
        <v>0</v>
      </c>
    </row>
    <row r="103" spans="16:20" x14ac:dyDescent="0.25">
      <c r="T103" s="37">
        <f>T102+IF(TRIM('💊 Medication History'!$I$102)="ACTIVE",1,0)</f>
        <v>0</v>
      </c>
    </row>
    <row r="104" spans="16:20" x14ac:dyDescent="0.25">
      <c r="T104" s="37">
        <f>T103+IF(TRIM('💊 Medication History'!$I$103)="ACTIVE",1,0)</f>
        <v>0</v>
      </c>
    </row>
    <row r="105" spans="16:20" x14ac:dyDescent="0.25">
      <c r="T105" s="37">
        <f>T104+IF(TRIM('💊 Medication History'!$I$104)="ACTIVE",1,0)</f>
        <v>0</v>
      </c>
    </row>
    <row r="106" spans="16:20" x14ac:dyDescent="0.25">
      <c r="T106" s="37">
        <f>T105+IF(TRIM('💊 Medication History'!$I$105)="ACTIVE",1,0)</f>
        <v>0</v>
      </c>
    </row>
    <row r="107" spans="16:20" x14ac:dyDescent="0.25">
      <c r="T107" s="37">
        <f>T106+IF(TRIM('💊 Medication History'!$I$106)="ACTIVE",1,0)</f>
        <v>0</v>
      </c>
    </row>
    <row r="108" spans="16:20" x14ac:dyDescent="0.25">
      <c r="T108" s="37">
        <f>T107+IF(TRIM('💊 Medication History'!$I$107)="ACTIVE",1,0)</f>
        <v>0</v>
      </c>
    </row>
    <row r="109" spans="16:20" x14ac:dyDescent="0.25">
      <c r="T109" s="37">
        <f>T108+IF(TRIM('💊 Medication History'!$I$108)="ACTIVE",1,0)</f>
        <v>0</v>
      </c>
    </row>
    <row r="110" spans="16:20" x14ac:dyDescent="0.25">
      <c r="T110" s="37">
        <f>T109+IF(TRIM('💊 Medication History'!$I$109)="ACTIVE",1,0)</f>
        <v>0</v>
      </c>
    </row>
    <row r="111" spans="16:20" x14ac:dyDescent="0.25">
      <c r="T111" s="37">
        <f>T110+IF(TRIM('💊 Medication History'!$I$110)="ACTIVE",1,0)</f>
        <v>0</v>
      </c>
    </row>
    <row r="112" spans="16:20" x14ac:dyDescent="0.25">
      <c r="T112" s="37">
        <f>T111+IF(TRIM('💊 Medication History'!$I$111)="ACTIVE",1,0)</f>
        <v>0</v>
      </c>
    </row>
    <row r="113" spans="20:20" x14ac:dyDescent="0.25">
      <c r="T113" s="37">
        <f>T112+IF(TRIM('💊 Medication History'!$I$112)="ACTIVE",1,0)</f>
        <v>0</v>
      </c>
    </row>
    <row r="114" spans="20:20" x14ac:dyDescent="0.25">
      <c r="T114" s="37">
        <f>T113+IF(TRIM('💊 Medication History'!$I$113)="ACTIVE",1,0)</f>
        <v>0</v>
      </c>
    </row>
    <row r="115" spans="20:20" x14ac:dyDescent="0.25">
      <c r="T115" s="37">
        <f>T114+IF(TRIM('💊 Medication History'!$I$114)="ACTIVE",1,0)</f>
        <v>0</v>
      </c>
    </row>
    <row r="116" spans="20:20" x14ac:dyDescent="0.25">
      <c r="T116" s="37">
        <f>T115+IF(TRIM('💊 Medication History'!$I$115)="ACTIVE",1,0)</f>
        <v>0</v>
      </c>
    </row>
    <row r="117" spans="20:20" x14ac:dyDescent="0.25">
      <c r="T117" s="37">
        <f>T116+IF(TRIM('💊 Medication History'!$I$116)="ACTIVE",1,0)</f>
        <v>0</v>
      </c>
    </row>
    <row r="118" spans="20:20" x14ac:dyDescent="0.25">
      <c r="T118" s="37">
        <f>T117+IF(TRIM('💊 Medication History'!$I$117)="ACTIVE",1,0)</f>
        <v>0</v>
      </c>
    </row>
    <row r="119" spans="20:20" x14ac:dyDescent="0.25">
      <c r="T119" s="37">
        <f>T118+IF(TRIM('💊 Medication History'!$I$118)="ACTIVE",1,0)</f>
        <v>0</v>
      </c>
    </row>
    <row r="120" spans="20:20" x14ac:dyDescent="0.25">
      <c r="T120" s="37">
        <f>T119+IF(TRIM('💊 Medication History'!$I$119)="ACTIVE",1,0)</f>
        <v>0</v>
      </c>
    </row>
    <row r="121" spans="20:20" x14ac:dyDescent="0.25">
      <c r="T121" s="37">
        <f>T120+IF(TRIM('💊 Medication History'!$I$120)="ACTIVE",1,0)</f>
        <v>0</v>
      </c>
    </row>
    <row r="122" spans="20:20" x14ac:dyDescent="0.25">
      <c r="T122" s="37">
        <f>T121+IF(TRIM('💊 Medication History'!$I$121)="ACTIVE",1,0)</f>
        <v>0</v>
      </c>
    </row>
    <row r="123" spans="20:20" x14ac:dyDescent="0.25">
      <c r="T123" s="37">
        <f>T122+IF(TRIM('💊 Medication History'!$I$122)="ACTIVE",1,0)</f>
        <v>0</v>
      </c>
    </row>
    <row r="124" spans="20:20" x14ac:dyDescent="0.25">
      <c r="T124" s="37">
        <f>T123+IF(TRIM('💊 Medication History'!$I$123)="ACTIVE",1,0)</f>
        <v>0</v>
      </c>
    </row>
    <row r="125" spans="20:20" x14ac:dyDescent="0.25">
      <c r="T125" s="37">
        <f>T124+IF(TRIM('💊 Medication History'!$I$124)="ACTIVE",1,0)</f>
        <v>0</v>
      </c>
    </row>
    <row r="126" spans="20:20" x14ac:dyDescent="0.25">
      <c r="T126" s="37">
        <f>T125+IF(TRIM('💊 Medication History'!$I$125)="ACTIVE",1,0)</f>
        <v>0</v>
      </c>
    </row>
    <row r="127" spans="20:20" x14ac:dyDescent="0.25">
      <c r="T127" s="37">
        <f>T126+IF(TRIM('💊 Medication History'!$I$126)="ACTIVE",1,0)</f>
        <v>0</v>
      </c>
    </row>
    <row r="128" spans="20:20" x14ac:dyDescent="0.25">
      <c r="T128" s="37">
        <f>T127+IF(TRIM('💊 Medication History'!$I$127)="ACTIVE",1,0)</f>
        <v>0</v>
      </c>
    </row>
    <row r="129" spans="20:20" x14ac:dyDescent="0.25">
      <c r="T129" s="37">
        <f>T128+IF(TRIM('💊 Medication History'!$I$128)="ACTIVE",1,0)</f>
        <v>0</v>
      </c>
    </row>
    <row r="130" spans="20:20" x14ac:dyDescent="0.25">
      <c r="T130" s="37">
        <f>T129+IF(TRIM('💊 Medication History'!$I$129)="ACTIVE",1,0)</f>
        <v>0</v>
      </c>
    </row>
    <row r="131" spans="20:20" x14ac:dyDescent="0.25">
      <c r="T131" s="37">
        <f>T130+IF(TRIM('💊 Medication History'!$I$130)="ACTIVE",1,0)</f>
        <v>0</v>
      </c>
    </row>
    <row r="132" spans="20:20" x14ac:dyDescent="0.25">
      <c r="T132" s="37">
        <f>T131+IF(TRIM('💊 Medication History'!$I$131)="ACTIVE",1,0)</f>
        <v>0</v>
      </c>
    </row>
    <row r="133" spans="20:20" x14ac:dyDescent="0.25">
      <c r="T133" s="37">
        <f>T132+IF(TRIM('💊 Medication History'!$I$132)="ACTIVE",1,0)</f>
        <v>0</v>
      </c>
    </row>
    <row r="134" spans="20:20" x14ac:dyDescent="0.25">
      <c r="T134" s="37">
        <f>T133+IF(TRIM('💊 Medication History'!$I$133)="ACTIVE",1,0)</f>
        <v>0</v>
      </c>
    </row>
    <row r="135" spans="20:20" x14ac:dyDescent="0.25">
      <c r="T135" s="37">
        <f>T134+IF(TRIM('💊 Medication History'!$I$134)="ACTIVE",1,0)</f>
        <v>0</v>
      </c>
    </row>
    <row r="136" spans="20:20" x14ac:dyDescent="0.25">
      <c r="T136" s="37">
        <f>T135+IF(TRIM('💊 Medication History'!$I$135)="ACTIVE",1,0)</f>
        <v>0</v>
      </c>
    </row>
    <row r="137" spans="20:20" x14ac:dyDescent="0.25">
      <c r="T137" s="37">
        <f>T136+IF(TRIM('💊 Medication History'!$I$136)="ACTIVE",1,0)</f>
        <v>0</v>
      </c>
    </row>
    <row r="138" spans="20:20" x14ac:dyDescent="0.25">
      <c r="T138" s="37">
        <f>T137+IF(TRIM('💊 Medication History'!$I$137)="ACTIVE",1,0)</f>
        <v>0</v>
      </c>
    </row>
    <row r="139" spans="20:20" x14ac:dyDescent="0.25">
      <c r="T139" s="37">
        <f>T138+IF(TRIM('💊 Medication History'!$I$138)="ACTIVE",1,0)</f>
        <v>0</v>
      </c>
    </row>
    <row r="140" spans="20:20" x14ac:dyDescent="0.25">
      <c r="T140" s="37">
        <f>T139+IF(TRIM('💊 Medication History'!$I$139)="ACTIVE",1,0)</f>
        <v>0</v>
      </c>
    </row>
    <row r="141" spans="20:20" x14ac:dyDescent="0.25">
      <c r="T141" s="37">
        <f>T140+IF(TRIM('💊 Medication History'!$I$140)="ACTIVE",1,0)</f>
        <v>0</v>
      </c>
    </row>
    <row r="142" spans="20:20" x14ac:dyDescent="0.25">
      <c r="T142" s="37">
        <f>T141+IF(TRIM('💊 Medication History'!$I$141)="ACTIVE",1,0)</f>
        <v>0</v>
      </c>
    </row>
    <row r="143" spans="20:20" x14ac:dyDescent="0.25">
      <c r="T143" s="37">
        <f>T142+IF(TRIM('💊 Medication History'!$I$142)="ACTIVE",1,0)</f>
        <v>0</v>
      </c>
    </row>
    <row r="144" spans="20:20" x14ac:dyDescent="0.25">
      <c r="T144" s="37">
        <f>T143+IF(TRIM('💊 Medication History'!$I$143)="ACTIVE",1,0)</f>
        <v>0</v>
      </c>
    </row>
    <row r="145" spans="20:20" x14ac:dyDescent="0.25">
      <c r="T145" s="37">
        <f>T144+IF(TRIM('💊 Medication History'!$I$144)="ACTIVE",1,0)</f>
        <v>0</v>
      </c>
    </row>
    <row r="146" spans="20:20" x14ac:dyDescent="0.25">
      <c r="T146" s="37">
        <f>T145+IF(TRIM('💊 Medication History'!$I$145)="ACTIVE",1,0)</f>
        <v>0</v>
      </c>
    </row>
    <row r="147" spans="20:20" x14ac:dyDescent="0.25">
      <c r="T147" s="37">
        <f>T146+IF(TRIM('💊 Medication History'!$I$146)="ACTIVE",1,0)</f>
        <v>0</v>
      </c>
    </row>
    <row r="148" spans="20:20" x14ac:dyDescent="0.25">
      <c r="T148" s="37">
        <f>T147+IF(TRIM('💊 Medication History'!$I$147)="ACTIVE",1,0)</f>
        <v>0</v>
      </c>
    </row>
    <row r="149" spans="20:20" x14ac:dyDescent="0.25">
      <c r="T149" s="37">
        <f>T148+IF(TRIM('💊 Medication History'!$I$148)="ACTIVE",1,0)</f>
        <v>0</v>
      </c>
    </row>
    <row r="150" spans="20:20" x14ac:dyDescent="0.25">
      <c r="T150" s="37">
        <f>T149+IF(TRIM('💊 Medication History'!$I$149)="ACTIVE",1,0)</f>
        <v>0</v>
      </c>
    </row>
    <row r="151" spans="20:20" x14ac:dyDescent="0.25">
      <c r="T151" s="37">
        <f>T150+IF(TRIM('💊 Medication History'!$I$150)="ACTIVE",1,0)</f>
        <v>0</v>
      </c>
    </row>
    <row r="152" spans="20:20" x14ac:dyDescent="0.25">
      <c r="T152" s="37">
        <f>T151+IF(TRIM('💊 Medication History'!$I$151)="ACTIVE",1,0)</f>
        <v>0</v>
      </c>
    </row>
    <row r="153" spans="20:20" x14ac:dyDescent="0.25">
      <c r="T153" s="37">
        <f>T152+IF(TRIM('💊 Medication History'!$I$152)="ACTIVE",1,0)</f>
        <v>0</v>
      </c>
    </row>
    <row r="154" spans="20:20" x14ac:dyDescent="0.25">
      <c r="T154" s="37">
        <f>T153+IF(TRIM('💊 Medication History'!$I$153)="ACTIVE",1,0)</f>
        <v>0</v>
      </c>
    </row>
    <row r="155" spans="20:20" x14ac:dyDescent="0.25">
      <c r="T155" s="37">
        <f>T154+IF(TRIM('💊 Medication History'!$I$154)="ACTIVE",1,0)</f>
        <v>0</v>
      </c>
    </row>
    <row r="156" spans="20:20" x14ac:dyDescent="0.25">
      <c r="T156" s="37">
        <f>T155+IF(TRIM('💊 Medication History'!$I$155)="ACTIVE",1,0)</f>
        <v>0</v>
      </c>
    </row>
    <row r="157" spans="20:20" x14ac:dyDescent="0.25">
      <c r="T157" s="37">
        <f>T156+IF(TRIM('💊 Medication History'!$I$156)="ACTIVE",1,0)</f>
        <v>0</v>
      </c>
    </row>
    <row r="158" spans="20:20" x14ac:dyDescent="0.25">
      <c r="T158" s="37">
        <f>T157+IF(TRIM('💊 Medication History'!$I$157)="ACTIVE",1,0)</f>
        <v>0</v>
      </c>
    </row>
    <row r="159" spans="20:20" x14ac:dyDescent="0.25">
      <c r="T159" s="37">
        <f>T158+IF(TRIM('💊 Medication History'!$I$158)="ACTIVE",1,0)</f>
        <v>0</v>
      </c>
    </row>
    <row r="160" spans="20:20" x14ac:dyDescent="0.25">
      <c r="T160" s="37">
        <f>T159+IF(TRIM('💊 Medication History'!$I$159)="ACTIVE",1,0)</f>
        <v>0</v>
      </c>
    </row>
    <row r="161" spans="20:20" x14ac:dyDescent="0.25">
      <c r="T161" s="37">
        <f>T160+IF(TRIM('💊 Medication History'!$I$160)="ACTIVE",1,0)</f>
        <v>0</v>
      </c>
    </row>
    <row r="162" spans="20:20" x14ac:dyDescent="0.25">
      <c r="T162" s="37">
        <f>T161+IF(TRIM('💊 Medication History'!$I$161)="ACTIVE",1,0)</f>
        <v>0</v>
      </c>
    </row>
    <row r="163" spans="20:20" x14ac:dyDescent="0.25">
      <c r="T163" s="37">
        <f>T162+IF(TRIM('💊 Medication History'!$I$162)="ACTIVE",1,0)</f>
        <v>0</v>
      </c>
    </row>
    <row r="164" spans="20:20" x14ac:dyDescent="0.25">
      <c r="T164" s="37">
        <f>T163+IF(TRIM('💊 Medication History'!$I$163)="ACTIVE",1,0)</f>
        <v>0</v>
      </c>
    </row>
    <row r="165" spans="20:20" x14ac:dyDescent="0.25">
      <c r="T165" s="37">
        <f>T164+IF(TRIM('💊 Medication History'!$I$164)="ACTIVE",1,0)</f>
        <v>0</v>
      </c>
    </row>
    <row r="166" spans="20:20" x14ac:dyDescent="0.25">
      <c r="T166" s="37">
        <f>T165+IF(TRIM('💊 Medication History'!$I$165)="ACTIVE",1,0)</f>
        <v>0</v>
      </c>
    </row>
    <row r="167" spans="20:20" x14ac:dyDescent="0.25">
      <c r="T167" s="37">
        <f>T166+IF(TRIM('💊 Medication History'!$I$166)="ACTIVE",1,0)</f>
        <v>0</v>
      </c>
    </row>
    <row r="168" spans="20:20" x14ac:dyDescent="0.25">
      <c r="T168" s="37">
        <f>T167+IF(TRIM('💊 Medication History'!$I$167)="ACTIVE",1,0)</f>
        <v>0</v>
      </c>
    </row>
    <row r="169" spans="20:20" x14ac:dyDescent="0.25">
      <c r="T169" s="37">
        <f>T168+IF(TRIM('💊 Medication History'!$I$168)="ACTIVE",1,0)</f>
        <v>0</v>
      </c>
    </row>
    <row r="170" spans="20:20" x14ac:dyDescent="0.25">
      <c r="T170" s="37">
        <f>T169+IF(TRIM('💊 Medication History'!$I$169)="ACTIVE",1,0)</f>
        <v>0</v>
      </c>
    </row>
    <row r="171" spans="20:20" x14ac:dyDescent="0.25">
      <c r="T171" s="37">
        <f>T170+IF(TRIM('💊 Medication History'!$I$170)="ACTIVE",1,0)</f>
        <v>0</v>
      </c>
    </row>
    <row r="172" spans="20:20" x14ac:dyDescent="0.25">
      <c r="T172" s="37">
        <f>T171+IF(TRIM('💊 Medication History'!$I$171)="ACTIVE",1,0)</f>
        <v>0</v>
      </c>
    </row>
    <row r="173" spans="20:20" x14ac:dyDescent="0.25">
      <c r="T173" s="37">
        <f>T172+IF(TRIM('💊 Medication History'!$I$172)="ACTIVE",1,0)</f>
        <v>0</v>
      </c>
    </row>
    <row r="174" spans="20:20" x14ac:dyDescent="0.25">
      <c r="T174" s="37">
        <f>T173+IF(TRIM('💊 Medication History'!$I$173)="ACTIVE",1,0)</f>
        <v>0</v>
      </c>
    </row>
    <row r="175" spans="20:20" x14ac:dyDescent="0.25">
      <c r="T175" s="37">
        <f>T174+IF(TRIM('💊 Medication History'!$I$174)="ACTIVE",1,0)</f>
        <v>0</v>
      </c>
    </row>
    <row r="176" spans="20:20" x14ac:dyDescent="0.25">
      <c r="T176" s="37">
        <f>T175+IF(TRIM('💊 Medication History'!$I$175)="ACTIVE",1,0)</f>
        <v>0</v>
      </c>
    </row>
    <row r="177" spans="20:20" x14ac:dyDescent="0.25">
      <c r="T177" s="37">
        <f>T176+IF(TRIM('💊 Medication History'!$I$176)="ACTIVE",1,0)</f>
        <v>0</v>
      </c>
    </row>
    <row r="178" spans="20:20" x14ac:dyDescent="0.25">
      <c r="T178" s="37">
        <f>T177+IF(TRIM('💊 Medication History'!$I$177)="ACTIVE",1,0)</f>
        <v>0</v>
      </c>
    </row>
    <row r="179" spans="20:20" x14ac:dyDescent="0.25">
      <c r="T179" s="37">
        <f>T178+IF(TRIM('💊 Medication History'!$I$178)="ACTIVE",1,0)</f>
        <v>0</v>
      </c>
    </row>
    <row r="180" spans="20:20" x14ac:dyDescent="0.25">
      <c r="T180" s="37">
        <f>T179+IF(TRIM('💊 Medication History'!$I$179)="ACTIVE",1,0)</f>
        <v>0</v>
      </c>
    </row>
    <row r="181" spans="20:20" x14ac:dyDescent="0.25">
      <c r="T181" s="37">
        <f>T180+IF(TRIM('💊 Medication History'!$I$180)="ACTIVE",1,0)</f>
        <v>0</v>
      </c>
    </row>
    <row r="182" spans="20:20" x14ac:dyDescent="0.25">
      <c r="T182" s="37">
        <f>T181+IF(TRIM('💊 Medication History'!$I$181)="ACTIVE",1,0)</f>
        <v>0</v>
      </c>
    </row>
    <row r="183" spans="20:20" x14ac:dyDescent="0.25">
      <c r="T183" s="37">
        <f>T182+IF(TRIM('💊 Medication History'!$I$182)="ACTIVE",1,0)</f>
        <v>0</v>
      </c>
    </row>
    <row r="184" spans="20:20" x14ac:dyDescent="0.25">
      <c r="T184" s="37">
        <f>T183+IF(TRIM('💊 Medication History'!$I$183)="ACTIVE",1,0)</f>
        <v>0</v>
      </c>
    </row>
    <row r="185" spans="20:20" x14ac:dyDescent="0.25">
      <c r="T185" s="37">
        <f>T184+IF(TRIM('💊 Medication History'!$I$184)="ACTIVE",1,0)</f>
        <v>0</v>
      </c>
    </row>
    <row r="186" spans="20:20" x14ac:dyDescent="0.25">
      <c r="T186" s="37">
        <f>T185+IF(TRIM('💊 Medication History'!$I$185)="ACTIVE",1,0)</f>
        <v>0</v>
      </c>
    </row>
    <row r="187" spans="20:20" x14ac:dyDescent="0.25">
      <c r="T187" s="37">
        <f>T186+IF(TRIM('💊 Medication History'!$I$186)="ACTIVE",1,0)</f>
        <v>0</v>
      </c>
    </row>
    <row r="188" spans="20:20" x14ac:dyDescent="0.25">
      <c r="T188" s="37">
        <f>T187+IF(TRIM('💊 Medication History'!$I$187)="ACTIVE",1,0)</f>
        <v>0</v>
      </c>
    </row>
    <row r="189" spans="20:20" x14ac:dyDescent="0.25">
      <c r="T189" s="37">
        <f>T188+IF(TRIM('💊 Medication History'!$I$188)="ACTIVE",1,0)</f>
        <v>0</v>
      </c>
    </row>
    <row r="190" spans="20:20" x14ac:dyDescent="0.25">
      <c r="T190" s="37">
        <f>T189+IF(TRIM('💊 Medication History'!$I$189)="ACTIVE",1,0)</f>
        <v>0</v>
      </c>
    </row>
    <row r="191" spans="20:20" x14ac:dyDescent="0.25">
      <c r="T191" s="37">
        <f>T190+IF(TRIM('💊 Medication History'!$I$190)="ACTIVE",1,0)</f>
        <v>0</v>
      </c>
    </row>
    <row r="192" spans="20:20" x14ac:dyDescent="0.25">
      <c r="T192" s="37">
        <f>T191+IF(TRIM('💊 Medication History'!$I$191)="ACTIVE",1,0)</f>
        <v>0</v>
      </c>
    </row>
    <row r="193" spans="20:20" x14ac:dyDescent="0.25">
      <c r="T193" s="37">
        <f>T192+IF(TRIM('💊 Medication History'!$I$192)="ACTIVE",1,0)</f>
        <v>0</v>
      </c>
    </row>
    <row r="194" spans="20:20" x14ac:dyDescent="0.25">
      <c r="T194" s="37">
        <f>T193+IF(TRIM('💊 Medication History'!$I$193)="ACTIVE",1,0)</f>
        <v>0</v>
      </c>
    </row>
    <row r="195" spans="20:20" x14ac:dyDescent="0.25">
      <c r="T195" s="37">
        <f>T194+IF(TRIM('💊 Medication History'!$I$194)="ACTIVE",1,0)</f>
        <v>0</v>
      </c>
    </row>
    <row r="196" spans="20:20" x14ac:dyDescent="0.25">
      <c r="T196" s="37">
        <f>T195+IF(TRIM('💊 Medication History'!$I$195)="ACTIVE",1,0)</f>
        <v>0</v>
      </c>
    </row>
    <row r="197" spans="20:20" x14ac:dyDescent="0.25">
      <c r="T197" s="37">
        <f>T196+IF(TRIM('💊 Medication History'!$I$196)="ACTIVE",1,0)</f>
        <v>0</v>
      </c>
    </row>
    <row r="198" spans="20:20" x14ac:dyDescent="0.25">
      <c r="T198" s="37">
        <f>T197+IF(TRIM('💊 Medication History'!$I$197)="ACTIVE",1,0)</f>
        <v>0</v>
      </c>
    </row>
    <row r="199" spans="20:20" x14ac:dyDescent="0.25">
      <c r="T199" s="37">
        <f>T198+IF(TRIM('💊 Medication History'!$I$198)="ACTIVE",1,0)</f>
        <v>0</v>
      </c>
    </row>
    <row r="200" spans="20:20" x14ac:dyDescent="0.25">
      <c r="T200" s="37">
        <f>T199+IF(TRIM('💊 Medication History'!$I$199)="ACTIVE",1,0)</f>
        <v>0</v>
      </c>
    </row>
    <row r="201" spans="20:20" x14ac:dyDescent="0.25">
      <c r="T201" s="37">
        <f>T200+IF(TRIM('💊 Medication History'!$I$200)="ACTIVE",1,0)</f>
        <v>0</v>
      </c>
    </row>
    <row r="202" spans="20:20" x14ac:dyDescent="0.25">
      <c r="T202" s="37">
        <f>T201+IF(TRIM('💊 Medication History'!$I$201)="ACTIVE",1,0)</f>
        <v>0</v>
      </c>
    </row>
    <row r="203" spans="20:20" x14ac:dyDescent="0.25">
      <c r="T203" s="37">
        <f>T202+IF(TRIM('💊 Medication History'!$I$202)="ACTIVE",1,0)</f>
        <v>0</v>
      </c>
    </row>
    <row r="204" spans="20:20" x14ac:dyDescent="0.25">
      <c r="T204" s="37">
        <f>T203+IF(TRIM('💊 Medication History'!$I$203)="ACTIVE",1,0)</f>
        <v>0</v>
      </c>
    </row>
    <row r="205" spans="20:20" x14ac:dyDescent="0.25">
      <c r="T205" s="37">
        <f>T204+IF(TRIM('💊 Medication History'!$I$204)="ACTIVE",1,0)</f>
        <v>0</v>
      </c>
    </row>
  </sheetData>
  <mergeCells count="11">
    <mergeCell ref="H15:I21"/>
    <mergeCell ref="H23:I26"/>
    <mergeCell ref="B36:F36"/>
    <mergeCell ref="T4:V4"/>
    <mergeCell ref="X5:X12"/>
    <mergeCell ref="B1:R1"/>
    <mergeCell ref="B2:R2"/>
    <mergeCell ref="B4:F4"/>
    <mergeCell ref="H4:I4"/>
    <mergeCell ref="L4:O4"/>
    <mergeCell ref="P4:R4"/>
  </mergeCells>
  <dataValidations count="1">
    <dataValidation type="decimal" operator="greaterThanOrEqual" allowBlank="1" showErrorMessage="1" errorTitle="Number needed" error="Enter a number (or leave blank for no limit)." sqref="D6:E33 I5:I13" xr:uid="{00000000-0002-0000-0A00-000000000000}">
      <formula1>0</formula1>
    </dataValidation>
  </dataValidations>
  <pageMargins left="0.5" right="0.5" top="0.6" bottom="0.6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17</vt:i4>
      </vt:variant>
    </vt:vector>
  </HeadingPairs>
  <TitlesOfParts>
    <vt:vector size="28" baseType="lpstr">
      <vt:lpstr>📋 How To Print</vt:lpstr>
      <vt:lpstr>👤 Patient Info</vt:lpstr>
      <vt:lpstr>📅 Daily Vitals Log</vt:lpstr>
      <vt:lpstr>🧪 Lab Results</vt:lpstr>
      <vt:lpstr>💊 Medication History</vt:lpstr>
      <vt:lpstr>📈 Dashboard</vt:lpstr>
      <vt:lpstr>🩺 Doctor Referral Report</vt:lpstr>
      <vt:lpstr>📊 Weekly Summary</vt:lpstr>
      <vt:lpstr>🗓 Doctor Visit Log</vt:lpstr>
      <vt:lpstr>📖 Lab Reference Ranges</vt:lpstr>
      <vt:lpstr>⚙ Dashboard Settings</vt:lpstr>
      <vt:lpstr>Lim_BP_DiaHigh</vt:lpstr>
      <vt:lpstr>Lim_BP_SysHigh</vt:lpstr>
      <vt:lpstr>Lim_BP_SysLow</vt:lpstr>
      <vt:lpstr>Lim_Sugar_Alert</vt:lpstr>
      <vt:lpstr>'⚙ Dashboard Settings'!Print_Area</vt:lpstr>
      <vt:lpstr>'👤 Patient Info'!Print_Area</vt:lpstr>
      <vt:lpstr>'💊 Medication History'!Print_Area</vt:lpstr>
      <vt:lpstr>'📅 Daily Vitals Log'!Print_Area</vt:lpstr>
      <vt:lpstr>'📈 Dashboard'!Print_Area</vt:lpstr>
      <vt:lpstr>'📊 Weekly Summary'!Print_Area</vt:lpstr>
      <vt:lpstr>'📋 How To Print'!Print_Area</vt:lpstr>
      <vt:lpstr>'📖 Lab Reference Ranges'!Print_Area</vt:lpstr>
      <vt:lpstr>'🗓 Doctor Visit Log'!Print_Area</vt:lpstr>
      <vt:lpstr>'🧪 Lab Results'!Print_Area</vt:lpstr>
      <vt:lpstr>'🩺 Doctor Referral Report'!Print_Area</vt:lpstr>
      <vt:lpstr>'📅 Daily Vitals Log'!Print_Titles</vt:lpstr>
      <vt:lpstr>'🗓 Doctor Visit Log'!Print_Titles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revision>1</cp:revision>
  <dcterms:created xsi:type="dcterms:W3CDTF">2026-10-11T01:20:02Z</dcterms:created>
  <dcterms:modified xsi:type="dcterms:W3CDTF">2026-10-11T01:21:49Z</dcterms:modified>
  <dc:language/>
</cp:coreProperties>
</file>